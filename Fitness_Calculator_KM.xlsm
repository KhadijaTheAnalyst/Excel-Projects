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ml.chartshapes+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webextensions/webextension1.xml" ContentType="application/vnd.ms-office.webextension+xml"/>
  <Override PartName="/xl/drawings/drawing5.xml" ContentType="application/vnd.openxmlformats-officedocument.drawing+xml"/>
  <Override PartName="/xl/tables/table2.xml" ContentType="application/vnd.openxmlformats-officedocument.spreadsheetml.table+xml"/>
  <Override PartName="/xl/webextensions/webextension2.xml" ContentType="application/vnd.ms-office.webextension+xml"/>
  <Override PartName="/xl/drawings/drawing6.xml" ContentType="application/vnd.openxmlformats-officedocument.drawing+xml"/>
  <Override PartName="/xl/tables/table3.xml" ContentType="application/vnd.openxmlformats-officedocument.spreadsheetml.table+xml"/>
  <Override PartName="/xl/webextensions/webextension3.xml" ContentType="application/vnd.ms-office.webextension+xml"/>
  <Override PartName="/xl/drawings/drawing7.xml" ContentType="application/vnd.openxmlformats-officedocument.drawing+xml"/>
  <Override PartName="/xl/tables/table4.xml" ContentType="application/vnd.openxmlformats-officedocument.spreadsheetml.table+xml"/>
  <Override PartName="/xl/drawings/drawing8.xml" ContentType="application/vnd.openxmlformats-officedocument.drawing+xml"/>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9.xml" ContentType="application/vnd.openxmlformats-officedocument.drawing+xml"/>
  <Override PartName="/xl/tables/table6.xml" ContentType="application/vnd.openxmlformats-officedocument.spreadsheetml.table+xml"/>
  <Override PartName="/xl/queryTables/queryTable1.xml" ContentType="application/vnd.openxmlformats-officedocument.spreadsheetml.query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queryTables/queryTable3.xml" ContentType="application/vnd.openxmlformats-officedocument.spreadsheetml.queryTable+xml"/>
  <Override PartName="/xl/tables/table9.xml" ContentType="application/vnd.openxmlformats-officedocument.spreadsheetml.table+xml"/>
  <Override PartName="/xl/queryTables/queryTable4.xml" ContentType="application/vnd.openxmlformats-officedocument.spreadsheetml.queryTable+xml"/>
  <Override PartName="/xl/tables/table10.xml" ContentType="application/vnd.openxmlformats-officedocument.spreadsheetml.table+xml"/>
  <Override PartName="/xl/queryTables/queryTable5.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4.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mc:AlternateContent xmlns:mc="http://schemas.openxmlformats.org/markup-compatibility/2006">
    <mc:Choice Requires="x15">
      <x15ac:absPath xmlns:x15ac="http://schemas.microsoft.com/office/spreadsheetml/2010/11/ac" url="https://d.docs.live.net/35fa5a4bf1360f1c/Desktop/Excel Templates/"/>
    </mc:Choice>
  </mc:AlternateContent>
  <xr:revisionPtr revIDLastSave="7363" documentId="8_{B5733C56-8288-4E41-B6C3-10B773D32DDC}" xr6:coauthVersionLast="47" xr6:coauthVersionMax="47" xr10:uidLastSave="{970BF021-39E1-42C5-8AC6-B3A14A3DB3BD}"/>
  <bookViews>
    <workbookView xWindow="28665" yWindow="-135" windowWidth="29070" windowHeight="15750" tabRatio="816" xr2:uid="{28EB6C90-906A-45D3-9448-FD7B1D2B1A08}"/>
  </bookViews>
  <sheets>
    <sheet name="Dashboard" sheetId="4" r:id="rId1"/>
    <sheet name="Instructions" sheetId="17" r:id="rId2"/>
    <sheet name="Workout Log" sheetId="1" r:id="rId3"/>
    <sheet name="Body Measurements Log" sheetId="2" r:id="rId4"/>
    <sheet name="Diet Plan Log" sheetId="10" r:id="rId5"/>
    <sheet name="ExerciseDB" sheetId="6" r:id="rId6"/>
    <sheet name="FoodDB" sheetId="16" r:id="rId7"/>
    <sheet name="Weekly Progress" sheetId="14" r:id="rId8"/>
    <sheet name="Helper" sheetId="18" state="hidden" r:id="rId9"/>
    <sheet name="Table9" sheetId="20" state="hidden" r:id="rId10"/>
    <sheet name="Table5" sheetId="21" state="hidden" r:id="rId11"/>
  </sheets>
  <definedNames>
    <definedName name="_xlcn.WorksheetConnection_Fitness_Calculator_KM.xlsmBodyMeasurementsTable1" hidden="1">BodyMeasurementsTable[]</definedName>
    <definedName name="_xlcn.WorksheetConnection_Fitness_Calculator_KM.xlsmTable5_11" hidden="1">Table5_1[]</definedName>
    <definedName name="_xlcn.WorksheetConnection_Fitness_Calculator_KM.xlsmTable91" hidden="1">Table9[]</definedName>
    <definedName name="_xlcn.WorksheetConnection_HelperDG1" hidden="1">Helper!$D:$G</definedName>
    <definedName name="_xleta.AND" hidden="1" xlm="1">#NAME?</definedName>
    <definedName name="_xleta.DB" hidden="1" xlm="1">#NAME?</definedName>
    <definedName name="_xleta.SUM" hidden="1" xlm="1">#NAME?</definedName>
    <definedName name="_xlpm.cur" hidden="1" xlm="1">#NAME?</definedName>
    <definedName name="_xlpm.goal" hidden="1" xlm="1">#NAME?</definedName>
    <definedName name="_xlpm.pct" hidden="1" xlm="1">#NAME?</definedName>
    <definedName name="_xlpm.start" hidden="1" xlm="1">#NAME?</definedName>
    <definedName name="Cardio">ExerciseDB!$E$19:$E$26</definedName>
    <definedName name="ExternalData_1" localSheetId="10" hidden="1">Table5!$A$1:$J$19</definedName>
    <definedName name="ExternalData_1" localSheetId="9" hidden="1">Table9!$A$1:$N$63</definedName>
    <definedName name="ExternalData_2" localSheetId="8" hidden="1">Helper!$D$1:$G$63</definedName>
    <definedName name="ExternalData_3" localSheetId="8" hidden="1">Helper!$I$1:$K$186</definedName>
    <definedName name="ExternalData_4" localSheetId="8" hidden="1">Helper!$R$1:$W$63</definedName>
    <definedName name="Flexibility">ExerciseDB!$E$27:$E$32</definedName>
    <definedName name="Recovery">ExerciseDB!$E$33:$E$34</definedName>
    <definedName name="Slicer_Days__Date">#N/A</definedName>
    <definedName name="Slicer_Months__Date">#N/A</definedName>
    <definedName name="Slicer_Week">#N/A</definedName>
    <definedName name="Strength">ExerciseDB!$E$7:$E$18</definedName>
  </definedNames>
  <calcPr calcId="191029"/>
  <pivotCaches>
    <pivotCache cacheId="1" r:id="rId12"/>
    <pivotCache cacheId="2" r:id="rId13"/>
    <pivotCache cacheId="3" r:id="rId14"/>
    <pivotCache cacheId="8" r:id="rId15"/>
  </pivotCaches>
  <extLst>
    <ext xmlns:x14="http://schemas.microsoft.com/office/spreadsheetml/2009/9/main" uri="{BBE1A952-AA13-448e-AADC-164F8A28A991}">
      <x14:slicerCaches>
        <x14:slicerCache r:id="rId16"/>
        <x14:slicerCache r:id="rId17"/>
        <x14:slicerCache r:id="rId1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9" name="Table9" connection="WorksheetConnection_Fitness_Calculator_KM.xlsm!Table9"/>
          <x15:modelTable id="Table5_1" name="Table5_1" connection="WorksheetConnection_Fitness_Calculator_KM.xlsm!Table5_1"/>
          <x15:modelTable id="Range" name="Range" connection="WorksheetConnection_Helper!$D:$G"/>
          <x15:modelTable id="BodyMeasurementsTable" name="BodyMeasurementsTable" connection="WorksheetConnection_Fitness_Calculator_KM.xlsm!BodyMeasurementsTable"/>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 i="18" l="1"/>
  <c r="B5" i="18"/>
  <c r="B4" i="18"/>
  <c r="B3" i="18"/>
  <c r="B7" i="18"/>
  <c r="M2" i="18"/>
  <c r="O3" i="18" s="1"/>
  <c r="N69" i="10"/>
  <c r="M69" i="10"/>
  <c r="L69" i="10"/>
  <c r="K69" i="10"/>
  <c r="J69" i="10"/>
  <c r="E69" i="10"/>
  <c r="N68" i="10"/>
  <c r="M68" i="10"/>
  <c r="L68" i="10"/>
  <c r="K68" i="10"/>
  <c r="J68" i="10"/>
  <c r="E68" i="10"/>
  <c r="N67" i="10"/>
  <c r="M67" i="10"/>
  <c r="L67" i="10"/>
  <c r="K67" i="10"/>
  <c r="J67" i="10"/>
  <c r="E67" i="10"/>
  <c r="N66" i="10"/>
  <c r="M66" i="10"/>
  <c r="L66" i="10"/>
  <c r="K66" i="10"/>
  <c r="J66" i="10"/>
  <c r="E66" i="10"/>
  <c r="N65" i="10"/>
  <c r="M65" i="10"/>
  <c r="L65" i="10"/>
  <c r="K65" i="10"/>
  <c r="J65" i="10"/>
  <c r="E65" i="10"/>
  <c r="N64" i="10"/>
  <c r="M64" i="10"/>
  <c r="L64" i="10"/>
  <c r="K64" i="10"/>
  <c r="J64" i="10"/>
  <c r="E64" i="10"/>
  <c r="N63" i="10"/>
  <c r="M63" i="10"/>
  <c r="L63" i="10"/>
  <c r="K63" i="10"/>
  <c r="J63" i="10"/>
  <c r="E63" i="10"/>
  <c r="N62" i="10"/>
  <c r="M62" i="10"/>
  <c r="L62" i="10"/>
  <c r="K62" i="10"/>
  <c r="J62" i="10"/>
  <c r="E62" i="10"/>
  <c r="N61" i="10"/>
  <c r="M61" i="10"/>
  <c r="L61" i="10"/>
  <c r="K61" i="10"/>
  <c r="J61" i="10"/>
  <c r="E61" i="10"/>
  <c r="N60" i="10"/>
  <c r="M60" i="10"/>
  <c r="L60" i="10"/>
  <c r="K60" i="10"/>
  <c r="J60" i="10"/>
  <c r="E60" i="10"/>
  <c r="N59" i="10"/>
  <c r="M59" i="10"/>
  <c r="L59" i="10"/>
  <c r="K59" i="10"/>
  <c r="J59" i="10"/>
  <c r="E59" i="10"/>
  <c r="N58" i="10"/>
  <c r="M58" i="10"/>
  <c r="L58" i="10"/>
  <c r="K58" i="10"/>
  <c r="J58" i="10"/>
  <c r="E58" i="10"/>
  <c r="N57" i="10"/>
  <c r="M57" i="10"/>
  <c r="L57" i="10"/>
  <c r="K57" i="10"/>
  <c r="J57" i="10"/>
  <c r="E57" i="10"/>
  <c r="N56" i="10"/>
  <c r="M56" i="10"/>
  <c r="L56" i="10"/>
  <c r="K56" i="10"/>
  <c r="J56" i="10"/>
  <c r="E56" i="10"/>
  <c r="N55" i="10"/>
  <c r="M55" i="10"/>
  <c r="L55" i="10"/>
  <c r="K55" i="10"/>
  <c r="J55" i="10"/>
  <c r="E55" i="10"/>
  <c r="E46" i="10"/>
  <c r="J46" i="10"/>
  <c r="K46" i="10"/>
  <c r="L46" i="10"/>
  <c r="M46" i="10"/>
  <c r="N46" i="10"/>
  <c r="E47" i="10"/>
  <c r="J47" i="10"/>
  <c r="K47" i="10"/>
  <c r="L47" i="10"/>
  <c r="M47" i="10"/>
  <c r="N47" i="10"/>
  <c r="J49" i="10"/>
  <c r="J50" i="10"/>
  <c r="J51" i="10"/>
  <c r="J52" i="10"/>
  <c r="J53" i="10"/>
  <c r="J54" i="10"/>
  <c r="J45" i="10"/>
  <c r="J48" i="10"/>
  <c r="J9" i="10"/>
  <c r="J10" i="10"/>
  <c r="J11" i="10"/>
  <c r="J12" i="10"/>
  <c r="J13" i="10"/>
  <c r="J14" i="10"/>
  <c r="J15" i="10"/>
  <c r="J16" i="10"/>
  <c r="J17" i="10"/>
  <c r="J18" i="10"/>
  <c r="J19" i="10"/>
  <c r="J20" i="10"/>
  <c r="J21" i="10"/>
  <c r="J22" i="10"/>
  <c r="J23" i="10"/>
  <c r="J24" i="10"/>
  <c r="J25" i="10"/>
  <c r="J26" i="10"/>
  <c r="J27" i="10"/>
  <c r="J28" i="10"/>
  <c r="J29" i="10"/>
  <c r="J30" i="10"/>
  <c r="J31" i="10"/>
  <c r="J32" i="10"/>
  <c r="J33" i="10"/>
  <c r="J34" i="10"/>
  <c r="J35" i="10"/>
  <c r="J36" i="10"/>
  <c r="J37" i="10"/>
  <c r="J38" i="10"/>
  <c r="J39" i="10"/>
  <c r="J40" i="10"/>
  <c r="J41" i="10"/>
  <c r="J42" i="10"/>
  <c r="J43" i="10"/>
  <c r="J44" i="10"/>
  <c r="E45" i="10"/>
  <c r="K45" i="10"/>
  <c r="L45" i="10"/>
  <c r="M45" i="10"/>
  <c r="N45" i="10"/>
  <c r="E48" i="10"/>
  <c r="K48" i="10"/>
  <c r="L48" i="10"/>
  <c r="M48" i="10"/>
  <c r="N48" i="10"/>
  <c r="E23" i="1"/>
  <c r="K23" i="1"/>
  <c r="L23" i="1" s="1"/>
  <c r="E54" i="10"/>
  <c r="K54" i="10"/>
  <c r="L54" i="10"/>
  <c r="M54" i="10"/>
  <c r="N54" i="10"/>
  <c r="E53" i="10"/>
  <c r="K53" i="10"/>
  <c r="L53" i="10"/>
  <c r="M53" i="10"/>
  <c r="N53" i="10"/>
  <c r="E52" i="10"/>
  <c r="K52" i="10"/>
  <c r="L52" i="10"/>
  <c r="M52" i="10"/>
  <c r="N52" i="10"/>
  <c r="C14" i="18"/>
  <c r="K9" i="2"/>
  <c r="K10" i="2"/>
  <c r="K11" i="2"/>
  <c r="K12" i="2"/>
  <c r="K13" i="2"/>
  <c r="K14" i="2"/>
  <c r="K15" i="2"/>
  <c r="K16" i="2"/>
  <c r="K17" i="2"/>
  <c r="K18" i="2"/>
  <c r="K19" i="2"/>
  <c r="K20" i="2"/>
  <c r="K21" i="2"/>
  <c r="K22" i="2"/>
  <c r="K23" i="2"/>
  <c r="K24" i="2"/>
  <c r="K25" i="2"/>
  <c r="B13" i="18" a="1"/>
  <c r="B13" i="18" s="1"/>
  <c r="C15" i="18" s="1"/>
  <c r="B12" i="18"/>
  <c r="E50" i="10"/>
  <c r="E51" i="10"/>
  <c r="K50" i="10"/>
  <c r="K51" i="10"/>
  <c r="L50" i="10"/>
  <c r="L51" i="10"/>
  <c r="M50" i="10"/>
  <c r="M51" i="10"/>
  <c r="N50" i="10"/>
  <c r="N51" i="10"/>
  <c r="E49" i="10"/>
  <c r="K49" i="10"/>
  <c r="L49" i="10"/>
  <c r="M49" i="10"/>
  <c r="N49" i="10"/>
  <c r="E43" i="10"/>
  <c r="K43" i="10"/>
  <c r="L43" i="10"/>
  <c r="M43" i="10"/>
  <c r="N43" i="10"/>
  <c r="E44" i="10"/>
  <c r="K44" i="10"/>
  <c r="L44" i="10"/>
  <c r="M44" i="10"/>
  <c r="N44" i="10"/>
  <c r="K8" i="2"/>
  <c r="K19" i="1"/>
  <c r="L19" i="1" s="1"/>
  <c r="K9" i="1"/>
  <c r="L9" i="1" s="1"/>
  <c r="K10" i="1"/>
  <c r="L10" i="1" s="1"/>
  <c r="K11" i="1"/>
  <c r="L11" i="1" s="1"/>
  <c r="K12" i="1"/>
  <c r="L12" i="1" s="1"/>
  <c r="K13" i="1"/>
  <c r="L13" i="1" s="1"/>
  <c r="K14" i="1"/>
  <c r="L14" i="1" s="1"/>
  <c r="K15" i="1"/>
  <c r="L15" i="1" s="1"/>
  <c r="K16" i="1"/>
  <c r="L16" i="1" s="1"/>
  <c r="K17" i="1"/>
  <c r="L17" i="1" s="1"/>
  <c r="K18" i="1"/>
  <c r="L18" i="1" s="1"/>
  <c r="K20" i="1"/>
  <c r="L20" i="1" s="1"/>
  <c r="K21" i="1"/>
  <c r="L21" i="1" s="1"/>
  <c r="K22" i="1"/>
  <c r="L22" i="1" s="1"/>
  <c r="K24" i="1"/>
  <c r="L24" i="1" s="1"/>
  <c r="K25" i="1"/>
  <c r="L25" i="1" s="1"/>
  <c r="K8" i="1"/>
  <c r="L8" i="1" s="1"/>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K34" i="10"/>
  <c r="L34" i="10"/>
  <c r="M34" i="10"/>
  <c r="N34" i="10"/>
  <c r="K38" i="10"/>
  <c r="L38" i="10"/>
  <c r="M38" i="10"/>
  <c r="N38" i="10"/>
  <c r="K29" i="10"/>
  <c r="L29" i="10"/>
  <c r="M29" i="10"/>
  <c r="N29" i="10"/>
  <c r="K23" i="10"/>
  <c r="L23" i="10"/>
  <c r="M23" i="10"/>
  <c r="N23" i="10"/>
  <c r="K19" i="10"/>
  <c r="L19" i="10"/>
  <c r="M19" i="10"/>
  <c r="N19" i="10"/>
  <c r="N11" i="10"/>
  <c r="M11" i="10"/>
  <c r="L11" i="10"/>
  <c r="K11" i="10"/>
  <c r="K9" i="10"/>
  <c r="L9" i="10"/>
  <c r="M9" i="10"/>
  <c r="N9" i="10"/>
  <c r="N8" i="10"/>
  <c r="N10" i="10"/>
  <c r="N12" i="10"/>
  <c r="N13" i="10"/>
  <c r="N14" i="10"/>
  <c r="N15" i="10"/>
  <c r="N16" i="10"/>
  <c r="N17" i="10"/>
  <c r="N18" i="10"/>
  <c r="N20" i="10"/>
  <c r="N21" i="10"/>
  <c r="N22" i="10"/>
  <c r="N24" i="10"/>
  <c r="N25" i="10"/>
  <c r="N26" i="10"/>
  <c r="N27" i="10"/>
  <c r="N28" i="10"/>
  <c r="N30" i="10"/>
  <c r="N31" i="10"/>
  <c r="N32" i="10"/>
  <c r="N33" i="10"/>
  <c r="N35" i="10"/>
  <c r="N36" i="10"/>
  <c r="N37" i="10"/>
  <c r="N39" i="10"/>
  <c r="N40" i="10"/>
  <c r="N41" i="10"/>
  <c r="N42" i="10"/>
  <c r="M8" i="10"/>
  <c r="M10" i="10"/>
  <c r="M12" i="10"/>
  <c r="M13" i="10"/>
  <c r="M14" i="10"/>
  <c r="M15" i="10"/>
  <c r="M16" i="10"/>
  <c r="M17" i="10"/>
  <c r="M18" i="10"/>
  <c r="M20" i="10"/>
  <c r="M21" i="10"/>
  <c r="M22" i="10"/>
  <c r="M24" i="10"/>
  <c r="M25" i="10"/>
  <c r="M26" i="10"/>
  <c r="M27" i="10"/>
  <c r="M28" i="10"/>
  <c r="M30" i="10"/>
  <c r="M31" i="10"/>
  <c r="M32" i="10"/>
  <c r="M33" i="10"/>
  <c r="M35" i="10"/>
  <c r="M36" i="10"/>
  <c r="M37" i="10"/>
  <c r="M39" i="10"/>
  <c r="M40" i="10"/>
  <c r="M41" i="10"/>
  <c r="M42" i="10"/>
  <c r="L10" i="10"/>
  <c r="L12" i="10"/>
  <c r="L13" i="10"/>
  <c r="L14" i="10"/>
  <c r="L15" i="10"/>
  <c r="L16" i="10"/>
  <c r="L17" i="10"/>
  <c r="L18" i="10"/>
  <c r="L20" i="10"/>
  <c r="L21" i="10"/>
  <c r="L22" i="10"/>
  <c r="L24" i="10"/>
  <c r="L25" i="10"/>
  <c r="L26" i="10"/>
  <c r="L27" i="10"/>
  <c r="L28" i="10"/>
  <c r="L30" i="10"/>
  <c r="L31" i="10"/>
  <c r="L32" i="10"/>
  <c r="L33" i="10"/>
  <c r="L35" i="10"/>
  <c r="L36" i="10"/>
  <c r="L37" i="10"/>
  <c r="L39" i="10"/>
  <c r="L40" i="10"/>
  <c r="L41" i="10"/>
  <c r="L42" i="10"/>
  <c r="L8" i="10"/>
  <c r="K10" i="10"/>
  <c r="K12" i="10"/>
  <c r="K13" i="10"/>
  <c r="K14" i="10"/>
  <c r="K15" i="10"/>
  <c r="K16" i="10"/>
  <c r="K17" i="10"/>
  <c r="K18" i="10"/>
  <c r="K20" i="10"/>
  <c r="K21" i="10"/>
  <c r="K22" i="10"/>
  <c r="K24" i="10"/>
  <c r="K25" i="10"/>
  <c r="K26" i="10"/>
  <c r="K27" i="10"/>
  <c r="K28" i="10"/>
  <c r="K30" i="10"/>
  <c r="K31" i="10"/>
  <c r="K32" i="10"/>
  <c r="K33" i="10"/>
  <c r="K35" i="10"/>
  <c r="K36" i="10"/>
  <c r="K37" i="10"/>
  <c r="K39" i="10"/>
  <c r="K40" i="10"/>
  <c r="K41" i="10"/>
  <c r="K42" i="10"/>
  <c r="K8" i="10"/>
  <c r="J8" i="10"/>
  <c r="E24" i="1"/>
  <c r="E25" i="1"/>
  <c r="E9" i="1"/>
  <c r="E10" i="1"/>
  <c r="E11" i="1"/>
  <c r="E12" i="1"/>
  <c r="E13" i="1"/>
  <c r="E14" i="1"/>
  <c r="E15" i="1"/>
  <c r="E16" i="1"/>
  <c r="E17" i="1"/>
  <c r="E18" i="1"/>
  <c r="E19" i="1"/>
  <c r="E20" i="1"/>
  <c r="E21" i="1"/>
  <c r="E22" i="1"/>
  <c r="E8" i="1"/>
  <c r="B2" i="18" l="1"/>
  <c r="O2" i="18"/>
  <c r="O6" i="18"/>
  <c r="O5" i="18"/>
  <c r="O4" i="18"/>
  <c r="B15" i="18"/>
  <c r="B17" i="18" s="1"/>
  <c r="B18" i="1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90BFB04-8A66-4749-861F-F68F2BC5264D}" keepAlive="1" name="Query - Append1" description="Connection to the 'Append1' query in the workbook." type="5" refreshedVersion="0" background="1" saveData="1">
    <dbPr connection="Provider=Microsoft.Mashup.OleDb.1;Data Source=$Workbook$;Location=Append1;Extended Properties=&quot;&quot;" command="SELECT * FROM [Append1]"/>
  </connection>
  <connection id="2" xr16:uid="{CE4C9E87-2775-4658-85BC-2D87CB696C7D}" keepAlive="1" name="Query - Merge1" description="Connection to the 'Merge1' query in the workbook." type="5" refreshedVersion="8" background="1" saveData="1">
    <dbPr connection="Provider=Microsoft.Mashup.OleDb.1;Data Source=$Workbook$;Location=Merge1;Extended Properties=&quot;&quot;" command="SELECT * FROM [Merge1]"/>
  </connection>
  <connection id="3" xr16:uid="{21D38E95-F076-4351-A2A7-3B13C46A9546}" keepAlive="1" name="Query - Merge1 (2)" description="Connection to the 'Merge1 (2)' query in the workbook." type="5" refreshedVersion="8" background="1" saveData="1">
    <dbPr connection="Provider=Microsoft.Mashup.OleDb.1;Data Source=$Workbook$;Location=&quot;Merge1 (2)&quot;;Extended Properties=&quot;&quot;" command="SELECT * FROM [Merge1 (2)]"/>
  </connection>
  <connection id="4" xr16:uid="{19490100-8748-44E1-B30D-8CBE9016CC31}" keepAlive="1" name="Query - Merge1 (3)" description="Connection to the 'Merge1 (3)' query in the workbook." type="5" refreshedVersion="8" background="1" saveData="1">
    <dbPr connection="Provider=Microsoft.Mashup.OleDb.1;Data Source=$Workbook$;Location=&quot;Merge1 (3)&quot;;Extended Properties=&quot;&quot;" command="SELECT * FROM [Merge1 (3)]"/>
  </connection>
  <connection id="5" xr16:uid="{7A6EB83C-1BB4-4967-9244-8615CF1D36BA}" keepAlive="1" name="Query - Table5" description="Connection to the 'Table5' query in the workbook." type="5" refreshedVersion="8" background="1" saveData="1">
    <dbPr connection="Provider=Microsoft.Mashup.OleDb.1;Data Source=$Workbook$;Location=Table5;Extended Properties=&quot;&quot;" command="SELECT * FROM [Table5]"/>
  </connection>
  <connection id="6" xr16:uid="{4439B417-CB00-4DB1-8BC7-EC34169D2AFF}" keepAlive="1" name="Query - Table9" description="Connection to the 'Table9' query in the workbook." type="5" refreshedVersion="8" background="1" saveData="1">
    <dbPr connection="Provider=Microsoft.Mashup.OleDb.1;Data Source=$Workbook$;Location=Table9;Extended Properties=&quot;&quot;" command="SELECT * FROM [Table9]"/>
  </connection>
  <connection id="7" xr16:uid="{0B2698DB-2787-49DE-A663-0248ECBE072C}"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8" xr16:uid="{5421369A-DB18-49C5-B932-0D069B8BBFB1}" name="WorksheetConnection_Fitness_Calculator_KM.xlsm!BodyMeasurementsTable" type="102" refreshedVersion="8" minRefreshableVersion="5">
    <extLst>
      <ext xmlns:x15="http://schemas.microsoft.com/office/spreadsheetml/2010/11/main" uri="{DE250136-89BD-433C-8126-D09CA5730AF9}">
        <x15:connection id="BodyMeasurementsTable">
          <x15:rangePr sourceName="_xlcn.WorksheetConnection_Fitness_Calculator_KM.xlsmBodyMeasurementsTable1"/>
        </x15:connection>
      </ext>
    </extLst>
  </connection>
  <connection id="9" xr16:uid="{72A124D1-C504-4F2E-B9EB-60C3CD8D01BC}" name="WorksheetConnection_Fitness_Calculator_KM.xlsm!Table5_1" type="102" refreshedVersion="8" minRefreshableVersion="5">
    <extLst>
      <ext xmlns:x15="http://schemas.microsoft.com/office/spreadsheetml/2010/11/main" uri="{DE250136-89BD-433C-8126-D09CA5730AF9}">
        <x15:connection id="Table5_1">
          <x15:rangePr sourceName="_xlcn.WorksheetConnection_Fitness_Calculator_KM.xlsmTable5_11"/>
        </x15:connection>
      </ext>
    </extLst>
  </connection>
  <connection id="10" xr16:uid="{F5EF3185-EBC7-475B-AA97-EDA655A8E3C6}" name="WorksheetConnection_Fitness_Calculator_KM.xlsm!Table9" type="102" refreshedVersion="8" minRefreshableVersion="5">
    <extLst>
      <ext xmlns:x15="http://schemas.microsoft.com/office/spreadsheetml/2010/11/main" uri="{DE250136-89BD-433C-8126-D09CA5730AF9}">
        <x15:connection id="Table9" autoDelete="1">
          <x15:rangePr sourceName="_xlcn.WorksheetConnection_Fitness_Calculator_KM.xlsmTable91"/>
        </x15:connection>
      </ext>
    </extLst>
  </connection>
  <connection id="11" xr16:uid="{A1B8675A-4B2D-4164-BCE1-4A1A8AFF1DC7}" name="WorksheetConnection_Helper!$D:$G" type="102" refreshedVersion="8" minRefreshableVersion="5">
    <extLst>
      <ext xmlns:x15="http://schemas.microsoft.com/office/spreadsheetml/2010/11/main" uri="{DE250136-89BD-433C-8126-D09CA5730AF9}">
        <x15:connection id="Range" autoDelete="1">
          <x15:rangePr sourceName="_xlcn.WorksheetConnection_HelperDG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<sst xmlns="http://schemas.openxmlformats.org/spreadsheetml/2006/main" count="804" uniqueCount="193">
  <si>
    <t>Date</t>
  </si>
  <si>
    <t>Weight (kg)</t>
  </si>
  <si>
    <t>Chest (cm)</t>
  </si>
  <si>
    <t>Waist (cm)</t>
  </si>
  <si>
    <t>Hips (cm)</t>
  </si>
  <si>
    <t>Arms (cm)</t>
  </si>
  <si>
    <t>Thighs (cm)</t>
  </si>
  <si>
    <t>Exercise</t>
  </si>
  <si>
    <t>Category</t>
  </si>
  <si>
    <t>Sets</t>
  </si>
  <si>
    <t>Weight(kg)</t>
  </si>
  <si>
    <t>Flexibility</t>
  </si>
  <si>
    <t>Strength</t>
  </si>
  <si>
    <t>Cardio</t>
  </si>
  <si>
    <t>BMI</t>
  </si>
  <si>
    <t>Squat</t>
  </si>
  <si>
    <t>Bench Press</t>
  </si>
  <si>
    <t>Stretching</t>
  </si>
  <si>
    <t>Deadlift</t>
  </si>
  <si>
    <t>Jump Rope</t>
  </si>
  <si>
    <t>Pilates</t>
  </si>
  <si>
    <t>Push-Ups</t>
  </si>
  <si>
    <t>Rowing</t>
  </si>
  <si>
    <t>Swimming</t>
  </si>
  <si>
    <t>Mobility Drills</t>
  </si>
  <si>
    <t>Notes</t>
  </si>
  <si>
    <t>Repetitions</t>
  </si>
  <si>
    <t>morning run</t>
  </si>
  <si>
    <t>body weight only</t>
  </si>
  <si>
    <t>cool down</t>
  </si>
  <si>
    <t>outdoor cycling</t>
  </si>
  <si>
    <t>Meal Type</t>
  </si>
  <si>
    <t>Food Item</t>
  </si>
  <si>
    <t>Protein (g)</t>
  </si>
  <si>
    <t>Carbs (g)</t>
  </si>
  <si>
    <t>Fats (g)</t>
  </si>
  <si>
    <t>Breakfast</t>
  </si>
  <si>
    <t>Lunch</t>
  </si>
  <si>
    <t>Dinner</t>
  </si>
  <si>
    <t>Snacks</t>
  </si>
  <si>
    <t>Time (24h)</t>
  </si>
  <si>
    <t>Sleep (hrs)</t>
  </si>
  <si>
    <t>Grand Total</t>
  </si>
  <si>
    <t>Week</t>
  </si>
  <si>
    <t>Sunday Break</t>
  </si>
  <si>
    <t>Daily Calorie Intake Limit</t>
  </si>
  <si>
    <t>Waters (ml)</t>
  </si>
  <si>
    <t>Average of Sleep (hrs)</t>
  </si>
  <si>
    <t>Fiber (g)</t>
  </si>
  <si>
    <t>Walnuts</t>
  </si>
  <si>
    <t>Almonds</t>
  </si>
  <si>
    <t>Lentils (cooked)</t>
  </si>
  <si>
    <t>Fibre (g)</t>
  </si>
  <si>
    <t>Chicken Breast (grilled)</t>
  </si>
  <si>
    <t>Protein/Meat</t>
  </si>
  <si>
    <t>Beef (lean, cooked)</t>
  </si>
  <si>
    <t>Fish (Salmon, grilled)</t>
  </si>
  <si>
    <t>Eggs (whole, boiled)</t>
  </si>
  <si>
    <t>Protein</t>
  </si>
  <si>
    <t>Yogurt (low-fat)</t>
  </si>
  <si>
    <t>Dairy</t>
  </si>
  <si>
    <t>Milk (low-fat, 1%)</t>
  </si>
  <si>
    <t>Legumes</t>
  </si>
  <si>
    <t>Chickpeas (cooked)</t>
  </si>
  <si>
    <t>Brown Rice (cooked)</t>
  </si>
  <si>
    <t>Grains</t>
  </si>
  <si>
    <t>Whole Wheat Bread</t>
  </si>
  <si>
    <t>Oats (dry)</t>
  </si>
  <si>
    <t>Apple</t>
  </si>
  <si>
    <t>Fruit</t>
  </si>
  <si>
    <t>Banana</t>
  </si>
  <si>
    <t>Blueberries</t>
  </si>
  <si>
    <t>Carrots (raw)</t>
  </si>
  <si>
    <t>Vegetables</t>
  </si>
  <si>
    <t>Cucumber (raw)</t>
  </si>
  <si>
    <t>Spinach (raw)</t>
  </si>
  <si>
    <t>Broccoli (steamed)</t>
  </si>
  <si>
    <t>Nuts/Seeds</t>
  </si>
  <si>
    <t>Quantity(g/ml)</t>
  </si>
  <si>
    <t>Exercise Category</t>
  </si>
  <si>
    <t>Exercise Name</t>
  </si>
  <si>
    <t>MET (Metabolic Equivalent)</t>
  </si>
  <si>
    <t>Barbell, bodyweight, or dumbbell</t>
  </si>
  <si>
    <t>Flat or incline</t>
  </si>
  <si>
    <t>Conventional/Romanian</t>
  </si>
  <si>
    <t>Pull-Ups</t>
  </si>
  <si>
    <t>Weighted or bodyweight</t>
  </si>
  <si>
    <t>Incline/Decline variations</t>
  </si>
  <si>
    <t>Lunges</t>
  </si>
  <si>
    <t>Walking, Bulgarian, reverse</t>
  </si>
  <si>
    <t>Shoulder Press</t>
  </si>
  <si>
    <t>Barbell or dumbbell</t>
  </si>
  <si>
    <t>Rows</t>
  </si>
  <si>
    <t>Barbell, dumbbell, cable</t>
  </si>
  <si>
    <t>Bicep Curls</t>
  </si>
  <si>
    <t>Dumbbell or barbell</t>
  </si>
  <si>
    <t>Tricep Dips</t>
  </si>
  <si>
    <t>Parallel bar, bench</t>
  </si>
  <si>
    <t>Leg Press</t>
  </si>
  <si>
    <t>Machine</t>
  </si>
  <si>
    <t>Calf Raises</t>
  </si>
  <si>
    <t>Standing or seated</t>
  </si>
  <si>
    <t>Running (6 mph)</t>
  </si>
  <si>
    <t>Jogging = 7.0</t>
  </si>
  <si>
    <t>Walking (brisk)</t>
  </si>
  <si>
    <t>5 km/h pace</t>
  </si>
  <si>
    <t>Cycling (moderate)</t>
  </si>
  <si>
    <t>16–20 km/h</t>
  </si>
  <si>
    <t>Freestyle moderate</t>
  </si>
  <si>
    <t>Moderate pace</t>
  </si>
  <si>
    <t>Moderate effort</t>
  </si>
  <si>
    <t>HIIT</t>
  </si>
  <si>
    <t>Circuits</t>
  </si>
  <si>
    <t>Dance/Zumba</t>
  </si>
  <si>
    <t>Group fitness</t>
  </si>
  <si>
    <t>Yoga (Hatha)</t>
  </si>
  <si>
    <t>Relaxed yoga</t>
  </si>
  <si>
    <t>Yoga (Power)</t>
  </si>
  <si>
    <t>Vigorous yoga</t>
  </si>
  <si>
    <t>Mat work</t>
  </si>
  <si>
    <t>Static stretching</t>
  </si>
  <si>
    <t>Tai Chi</t>
  </si>
  <si>
    <t>Slow form</t>
  </si>
  <si>
    <t>Dynamic warmup</t>
  </si>
  <si>
    <t>Recovery</t>
  </si>
  <si>
    <t>Rest Day</t>
  </si>
  <si>
    <t>Sleeping/sitting</t>
  </si>
  <si>
    <t>Foam Rolling</t>
  </si>
  <si>
    <t>Self-myofascial release</t>
  </si>
  <si>
    <t>Calories Burned</t>
  </si>
  <si>
    <t>Duration (mins)</t>
  </si>
  <si>
    <t>Where:</t>
  </si>
  <si>
    <t>Step-by-step example:</t>
  </si>
  <si>
    <t>MET = 6 (Squat)</t>
  </si>
  <si>
    <t>Weight = 60 kg</t>
  </si>
  <si>
    <t>Duration = 30 minutes</t>
  </si>
  <si>
    <t>The standard formula for calculating calories burned during an activity using MET (Metabolic Equivalent of Task) is:</t>
  </si>
  <si>
    <t>Calories Burned=MET×Weight (kg)×3.5200×Duration (minutes)Calories Burned=200MET×Weight (kg)×3.5​×Duration (minutes)</t>
  </si>
  <si>
    <t>MET = metabolic equivalent of the activity (from your exercise table)</t>
  </si>
  <si>
    <t>Weight (kg) = your body weight in kilograms</t>
  </si>
  <si>
    <t>Duration (minutes) = how long you performed the activity</t>
  </si>
  <si>
    <t>BMI (Body Mass Index)</t>
  </si>
  <si>
    <t>BMI formula:</t>
  </si>
  <si>
    <t>Weight in kilograms</t>
  </si>
  <si>
    <t>Height in meters</t>
  </si>
  <si>
    <t>Example:</t>
  </si>
  <si>
    <t>Weight = 59 kg</t>
  </si>
  <si>
    <t>Height = 1.52 m (152 cm)</t>
  </si>
  <si>
    <t>BMI Categories:</t>
  </si>
  <si>
    <t>&lt; 18.5 → Underweight</t>
  </si>
  <si>
    <t>18.5–24.9 → Normal</t>
  </si>
  <si>
    <t>25–29.9 → Overweight</t>
  </si>
  <si>
    <t>30+ → Obese</t>
  </si>
  <si>
    <t>BMI=Weight (kg)Height (m)2BMI=Height (m)2Weight (kg)​</t>
  </si>
  <si>
    <t>BMI=591.522=592.3104≈25.5BMI=1.52259​=2.310459​≈25.5</t>
  </si>
  <si>
    <t>Average of Weight (kg)</t>
  </si>
  <si>
    <t>Sum of Duration (mins)</t>
  </si>
  <si>
    <t>Column Labels</t>
  </si>
  <si>
    <t>Underweight (18.5)</t>
  </si>
  <si>
    <t>Healthy (24.9)</t>
  </si>
  <si>
    <t>Overweight (30)</t>
  </si>
  <si>
    <t>Week No.</t>
  </si>
  <si>
    <t>target</t>
  </si>
  <si>
    <t>Calories (kcal)</t>
  </si>
  <si>
    <t>Calories Burned (kcal)</t>
  </si>
  <si>
    <t>Metric</t>
  </si>
  <si>
    <t>Formula Example (for today)</t>
  </si>
  <si>
    <t>Calories Consumed</t>
  </si>
  <si>
    <t>Exercise Duration (min)</t>
  </si>
  <si>
    <t>Sleep Hours</t>
  </si>
  <si>
    <t>Water Intake (ml)</t>
  </si>
  <si>
    <t>Weight</t>
  </si>
  <si>
    <t>Row Labels</t>
  </si>
  <si>
    <t>Calories In</t>
  </si>
  <si>
    <t>Calories Out</t>
  </si>
  <si>
    <t xml:space="preserve">Height (cm) </t>
  </si>
  <si>
    <t>Sum of Calories (kcal)</t>
  </si>
  <si>
    <t>Sum of Sleep (hrs)</t>
  </si>
  <si>
    <t>Sum of Waters (ml)</t>
  </si>
  <si>
    <t>Table5.Duration (mins)</t>
  </si>
  <si>
    <t>Table5.Calories Burned (kcal)</t>
  </si>
  <si>
    <t>Attribute</t>
  </si>
  <si>
    <t>Value</t>
  </si>
  <si>
    <t>Label</t>
  </si>
  <si>
    <t>Formula</t>
  </si>
  <si>
    <t>Start weight</t>
  </si>
  <si>
    <t>Current Weight</t>
  </si>
  <si>
    <t>Goal Weight</t>
  </si>
  <si>
    <t>ProgressPct</t>
  </si>
  <si>
    <t xml:space="preserve">InvisibleSlice   </t>
  </si>
  <si>
    <t xml:space="preserve">RemainingValue  </t>
  </si>
  <si>
    <t xml:space="preserve">ProgressValue    </t>
  </si>
  <si>
    <t>Snack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</si>
</sst>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dd\-mm\-yy"/>
    <numFmt numFmtId="165" formatCode="[hh]:mm"/>
    <numFmt numFmtId="166" formatCode="0.0"/>
    <numFmt numFmtId="167" formatCode="[$-F400]h:mm:ss\ AM/PM"/>
  </numFmts>
  <fonts count="15">
    <font>
      <sz val="11"/>
      <color theme="1"/>
      <name val="Tw Cen MT"/>
      <family val="2"/>
      <scheme val="minor"/>
    </font>
    <font>
      <b/>
      <sz val="11"/>
      <color theme="1"/>
      <name val="Tw Cen MT"/>
      <family val="2"/>
      <scheme val="minor"/>
    </font>
    <font>
      <sz val="8"/>
      <name val="Tw Cen MT"/>
      <family val="2"/>
      <scheme val="minor"/>
    </font>
    <font>
      <b/>
      <sz val="14"/>
      <color theme="1"/>
      <name val="Tw Cen MT"/>
      <family val="2"/>
      <scheme val="minor"/>
    </font>
    <font>
      <sz val="11"/>
      <color theme="1"/>
      <name val="Tw Cen MT"/>
      <family val="2"/>
      <scheme val="minor"/>
    </font>
    <font>
      <sz val="10"/>
      <color rgb="FF0D0D0D"/>
      <name val="Segoe UI"/>
      <family val="2"/>
    </font>
    <font>
      <sz val="10"/>
      <color rgb="FF0D0D0D"/>
      <name val="Segoe UI"/>
      <family val="2"/>
    </font>
    <font>
      <sz val="22"/>
      <color theme="1"/>
      <name val="Amasis MT Pro Black"/>
      <family val="1"/>
    </font>
    <font>
      <sz val="24"/>
      <color theme="1"/>
      <name val="Amasis MT Pro Black"/>
      <family val="1"/>
    </font>
    <font>
      <sz val="11"/>
      <name val="Tw Cen MT"/>
      <family val="2"/>
      <scheme val="minor"/>
    </font>
    <font>
      <b/>
      <sz val="11"/>
      <color theme="0"/>
      <name val="Tw Cen MT"/>
      <family val="2"/>
      <scheme val="minor"/>
    </font>
    <font>
      <b/>
      <sz val="11"/>
      <name val="Tw Cen MT"/>
      <family val="2"/>
      <scheme val="minor"/>
    </font>
    <font>
      <sz val="11"/>
      <color rgb="FFFF0000"/>
      <name val="Tw Cen MT"/>
      <family val="2"/>
      <scheme val="minor"/>
    </font>
    <font>
      <sz val="10"/>
      <color theme="1"/>
      <name val="Arial Unicode MS"/>
    </font>
    <font>
      <b/>
      <sz val="12"/>
      <color rgb="FF000000"/>
      <name val="Tw Cen MT"/>
      <family val="2"/>
      <scheme val="minor"/>
    </font>
  </fonts>
  <fills count="9">
    <fill>
      <patternFill patternType="none"/>
    </fill>
    <fill>
      <patternFill patternType="gray125"/>
    </fill>
    <fill>
      <patternFill patternType="solid">
        <fgColor theme="5" tint="0.79998168889431442"/>
        <bgColor indexed="65"/>
      </patternFill>
    </fill>
    <fill>
      <patternFill patternType="solid">
        <fgColor theme="0" tint="-4.9989318521683403E-2"/>
        <bgColor indexed="64"/>
      </patternFill>
    </fill>
    <fill>
      <patternFill patternType="solid">
        <fgColor theme="0" tint="-4.9989318521683403E-2"/>
        <bgColor theme="4"/>
      </patternFill>
    </fill>
    <fill>
      <patternFill patternType="solid">
        <fgColor theme="0"/>
        <bgColor indexed="64"/>
      </patternFill>
    </fill>
    <fill>
      <patternFill patternType="solid">
        <fgColor rgb="FFE8F5E9"/>
        <bgColor indexed="64"/>
      </patternFill>
    </fill>
    <fill>
      <patternFill patternType="solid">
        <fgColor theme="5" tint="-0.249977111117893"/>
        <bgColor indexed="64"/>
      </patternFill>
    </fill>
    <fill>
      <patternFill patternType="solid">
        <fgColor theme="6" tint="0.79998168889431442"/>
        <bgColor theme="6" tint="0.79998168889431442"/>
      </patternFill>
    </fill>
  </fills>
  <borders count="4">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style="thin">
        <color theme="6" tint="0.39997558519241921"/>
      </top>
      <bottom style="thin">
        <color theme="6" tint="0.39997558519241921"/>
      </bottom>
      <diagonal/>
    </border>
  </borders>
  <cellStyleXfs count="3">
    <xf numFmtId="0" fontId="0" fillId="0" borderId="0"/>
    <xf numFmtId="0" fontId="4" fillId="2" borderId="0" applyNumberFormat="0" applyBorder="0" applyAlignment="0" applyProtection="0"/>
    <xf numFmtId="9" fontId="4" fillId="0" borderId="0" applyFont="0" applyFill="0" applyBorder="0" applyAlignment="0" applyProtection="0"/>
  </cellStyleXfs>
  <cellXfs count="69">
    <xf numFmtId="0" fontId="0" fillId="0" borderId="0" xfId="0"/>
    <xf numFmtId="2" fontId="0" fillId="0" borderId="0" xfId="0" applyNumberFormat="1"/>
    <xf numFmtId="0" fontId="0" fillId="0" borderId="0" xfId="0" pivotButton="1"/>
    <xf numFmtId="0" fontId="0" fillId="0" borderId="0" xfId="0" applyAlignment="1">
      <alignment horizontal="left"/>
    </xf>
    <xf numFmtId="165" fontId="0" fillId="0" borderId="0" xfId="0" applyNumberFormat="1"/>
    <xf numFmtId="1" fontId="0" fillId="0" borderId="0" xfId="0" applyNumberFormat="1"/>
    <xf numFmtId="1" fontId="0" fillId="0" borderId="0" xfId="0" applyNumberFormat="1" applyAlignment="1">
      <alignment horizontal="left"/>
    </xf>
    <xf numFmtId="166" fontId="0" fillId="0" borderId="0" xfId="0" applyNumberFormat="1"/>
    <xf numFmtId="0" fontId="0" fillId="3" borderId="0" xfId="0" applyFill="1"/>
    <xf numFmtId="2" fontId="0" fillId="3" borderId="0" xfId="0" applyNumberFormat="1" applyFill="1"/>
    <xf numFmtId="0" fontId="0" fillId="3" borderId="0" xfId="0" applyFill="1" applyAlignment="1">
      <alignment vertical="center" wrapText="1"/>
    </xf>
    <xf numFmtId="164" fontId="10" fillId="4" borderId="1" xfId="0" applyNumberFormat="1" applyFont="1" applyFill="1" applyBorder="1" applyAlignment="1">
      <alignment horizontal="left" vertical="top"/>
    </xf>
    <xf numFmtId="2" fontId="10" fillId="4" borderId="2" xfId="0" applyNumberFormat="1" applyFont="1" applyFill="1" applyBorder="1"/>
    <xf numFmtId="16" fontId="0" fillId="3" borderId="0" xfId="0" applyNumberFormat="1" applyFill="1" applyAlignment="1">
      <alignment vertical="center" wrapText="1"/>
    </xf>
    <xf numFmtId="164" fontId="9" fillId="0" borderId="0" xfId="0" applyNumberFormat="1" applyFont="1" applyAlignment="1">
      <alignment horizontal="left" vertical="top"/>
    </xf>
    <xf numFmtId="2" fontId="9" fillId="0" borderId="0" xfId="0" applyNumberFormat="1" applyFont="1"/>
    <xf numFmtId="2" fontId="11" fillId="0" borderId="0" xfId="0" applyNumberFormat="1" applyFont="1" applyAlignment="1">
      <alignment horizontal="center" vertical="center" wrapText="1"/>
    </xf>
    <xf numFmtId="14" fontId="0" fillId="0" borderId="0" xfId="0" applyNumberFormat="1" applyAlignment="1">
      <alignment horizontal="center"/>
    </xf>
    <xf numFmtId="2" fontId="0" fillId="0" borderId="0" xfId="0" applyNumberFormat="1" applyAlignment="1">
      <alignment horizontal="center"/>
    </xf>
    <xf numFmtId="0" fontId="0" fillId="0" borderId="0" xfId="0" applyAlignment="1">
      <alignment vertical="center" wrapText="1"/>
    </xf>
    <xf numFmtId="0" fontId="0" fillId="3" borderId="0" xfId="0" applyFill="1" applyAlignment="1">
      <alignment horizontal="left"/>
    </xf>
    <xf numFmtId="164" fontId="0" fillId="3" borderId="0" xfId="0" applyNumberFormat="1" applyFill="1" applyAlignment="1">
      <alignment horizontal="center" vertical="center"/>
    </xf>
    <xf numFmtId="2" fontId="0" fillId="3" borderId="0" xfId="0" applyNumberFormat="1" applyFill="1" applyAlignment="1">
      <alignment horizontal="center" vertical="center"/>
    </xf>
    <xf numFmtId="1" fontId="0" fillId="3" borderId="0" xfId="0" applyNumberFormat="1" applyFill="1" applyAlignment="1">
      <alignment horizontal="center" vertical="center"/>
    </xf>
    <xf numFmtId="49" fontId="3" fillId="3" borderId="0" xfId="0" applyNumberFormat="1" applyFont="1" applyFill="1" applyAlignment="1">
      <alignment horizontal="center" vertical="center"/>
    </xf>
    <xf numFmtId="14" fontId="3" fillId="3" borderId="0" xfId="0" applyNumberFormat="1" applyFont="1" applyFill="1" applyAlignment="1">
      <alignment horizontal="center" vertical="center"/>
    </xf>
    <xf numFmtId="49" fontId="0" fillId="3" borderId="0" xfId="0" applyNumberFormat="1" applyFill="1" applyAlignment="1">
      <alignment horizontal="center" vertical="center" wrapText="1"/>
    </xf>
    <xf numFmtId="49" fontId="0" fillId="3" borderId="0" xfId="0" applyNumberFormat="1" applyFill="1" applyAlignment="1">
      <alignment horizontal="center" vertical="center"/>
    </xf>
    <xf numFmtId="14" fontId="0" fillId="3" borderId="0" xfId="0" applyNumberFormat="1" applyFill="1" applyAlignment="1">
      <alignment horizontal="center" vertical="center"/>
    </xf>
    <xf numFmtId="14" fontId="0" fillId="3" borderId="0" xfId="0" applyNumberFormat="1" applyFill="1"/>
    <xf numFmtId="0" fontId="8" fillId="3" borderId="0" xfId="0" applyFont="1" applyFill="1" applyAlignment="1">
      <alignment vertical="center"/>
    </xf>
    <xf numFmtId="0" fontId="0" fillId="3" borderId="0" xfId="0" applyFill="1" applyAlignment="1">
      <alignment vertical="center"/>
    </xf>
    <xf numFmtId="0" fontId="7" fillId="3" borderId="0" xfId="0" applyFont="1" applyFill="1" applyAlignment="1">
      <alignment vertical="center"/>
    </xf>
    <xf numFmtId="0" fontId="6" fillId="3" borderId="0" xfId="0" applyFont="1" applyFill="1" applyAlignment="1">
      <alignment horizontal="left" vertical="center" wrapText="1" indent="1"/>
    </xf>
    <xf numFmtId="0" fontId="9" fillId="3" borderId="0" xfId="0" applyFont="1" applyFill="1"/>
    <xf numFmtId="0" fontId="5" fillId="3" borderId="0" xfId="0" applyFont="1" applyFill="1" applyAlignment="1">
      <alignment horizontal="left" vertical="center" wrapText="1" indent="1"/>
    </xf>
    <xf numFmtId="0" fontId="5" fillId="3" borderId="0" xfId="0" applyFont="1" applyFill="1" applyAlignment="1">
      <alignment horizontal="left" vertical="center" wrapText="1" indent="2"/>
    </xf>
    <xf numFmtId="0" fontId="1" fillId="0" borderId="0" xfId="0" applyFont="1" applyAlignment="1">
      <alignment horizontal="center" vertical="center" wrapText="1"/>
    </xf>
    <xf numFmtId="0" fontId="0" fillId="0" borderId="0" xfId="0" applyAlignment="1">
      <alignment vertical="center"/>
    </xf>
    <xf numFmtId="1" fontId="13" fillId="0" borderId="0" xfId="0" applyNumberFormat="1" applyFont="1" applyAlignment="1">
      <alignment vertical="center"/>
    </xf>
    <xf numFmtId="14" fontId="0" fillId="0" borderId="0" xfId="0" applyNumberFormat="1"/>
    <xf numFmtId="22" fontId="0" fillId="0" borderId="0" xfId="0" applyNumberFormat="1"/>
    <xf numFmtId="167" fontId="0" fillId="0" borderId="0" xfId="0" applyNumberFormat="1"/>
    <xf numFmtId="14" fontId="0" fillId="0" borderId="0" xfId="0" applyNumberFormat="1" applyAlignment="1">
      <alignment horizontal="left"/>
    </xf>
    <xf numFmtId="0" fontId="14" fillId="0" borderId="0" xfId="0" applyFont="1" applyAlignment="1">
      <alignment horizontal="center" vertical="center"/>
    </xf>
    <xf numFmtId="0" fontId="1" fillId="5" borderId="0" xfId="0" applyFont="1" applyFill="1" applyAlignment="1">
      <alignment horizontal="left"/>
    </xf>
    <xf numFmtId="1" fontId="1" fillId="0" borderId="0" xfId="0" applyNumberFormat="1" applyFont="1" applyAlignment="1">
      <alignment horizontal="center" vertical="center" wrapText="1"/>
    </xf>
    <xf numFmtId="0" fontId="4" fillId="5" borderId="0" xfId="1" applyFill="1" applyAlignment="1">
      <alignment vertical="center" wrapText="1"/>
    </xf>
    <xf numFmtId="0" fontId="4" fillId="5" borderId="0" xfId="1" applyFill="1"/>
    <xf numFmtId="0" fontId="1" fillId="5" borderId="0" xfId="1" applyFont="1" applyFill="1"/>
    <xf numFmtId="0" fontId="4" fillId="5" borderId="0" xfId="1" applyFill="1" applyAlignment="1">
      <alignment horizontal="left" vertical="center" wrapText="1" indent="1"/>
    </xf>
    <xf numFmtId="166" fontId="0" fillId="3" borderId="0" xfId="0" applyNumberFormat="1" applyFill="1" applyAlignment="1">
      <alignment horizontal="center" vertical="center"/>
    </xf>
    <xf numFmtId="166" fontId="0" fillId="3" borderId="0" xfId="0" applyNumberFormat="1" applyFill="1"/>
    <xf numFmtId="1" fontId="0" fillId="3" borderId="0" xfId="0" applyNumberFormat="1" applyFill="1"/>
    <xf numFmtId="1" fontId="0" fillId="3" borderId="0" xfId="0" applyNumberFormat="1" applyFill="1" applyAlignment="1">
      <alignment horizontal="left" vertical="center"/>
    </xf>
    <xf numFmtId="166" fontId="0" fillId="0" borderId="0" xfId="0" applyNumberFormat="1" applyAlignment="1">
      <alignment horizontal="left"/>
    </xf>
    <xf numFmtId="49" fontId="3" fillId="5" borderId="0" xfId="0" applyNumberFormat="1" applyFont="1" applyFill="1" applyAlignment="1">
      <alignment horizontal="center" vertical="center"/>
    </xf>
    <xf numFmtId="166" fontId="3" fillId="5" borderId="0" xfId="0" applyNumberFormat="1" applyFont="1" applyFill="1" applyAlignment="1">
      <alignment horizontal="center" vertical="center"/>
    </xf>
    <xf numFmtId="165" fontId="0" fillId="3" borderId="0" xfId="0" applyNumberFormat="1" applyFill="1" applyAlignment="1">
      <alignment horizontal="left" vertical="center"/>
    </xf>
    <xf numFmtId="165" fontId="0" fillId="3" borderId="0" xfId="0" applyNumberFormat="1" applyFill="1" applyAlignment="1">
      <alignment horizontal="left"/>
    </xf>
    <xf numFmtId="165" fontId="0" fillId="0" borderId="0" xfId="0" applyNumberFormat="1" applyAlignment="1">
      <alignment horizontal="left"/>
    </xf>
    <xf numFmtId="0" fontId="12" fillId="6" borderId="0" xfId="0" applyFont="1" applyFill="1"/>
    <xf numFmtId="0" fontId="1" fillId="7" borderId="0" xfId="0" applyFont="1" applyFill="1"/>
    <xf numFmtId="1" fontId="1" fillId="7" borderId="0" xfId="0" applyNumberFormat="1" applyFont="1" applyFill="1"/>
    <xf numFmtId="166" fontId="13" fillId="0" borderId="0" xfId="0" applyNumberFormat="1" applyFont="1" applyAlignment="1">
      <alignment vertical="center" wrapText="1"/>
    </xf>
    <xf numFmtId="0" fontId="0" fillId="8" borderId="3" xfId="0" applyFill="1" applyBorder="1" applyAlignment="1">
      <alignment vertical="center" wrapText="1"/>
    </xf>
    <xf numFmtId="0" fontId="0" fillId="0" borderId="3" xfId="0" applyBorder="1" applyAlignment="1">
      <alignment vertical="center" wrapText="1"/>
    </xf>
    <xf numFmtId="1" fontId="0" fillId="0" borderId="0" xfId="2" applyNumberFormat="1" applyFont="1"/>
    <xf numFmtId="0" fontId="0" fillId="0" borderId="0" xfId="0" applyNumberFormat="1"/>
  </cellXfs>
  <cellStyles count="3">
    <cellStyle name="20% - Accent2" xfId="1" builtinId="34"/>
    <cellStyle name="Normal" xfId="0" builtinId="0"/>
    <cellStyle name="Percent" xfId="2" builtinId="5"/>
  </cellStyles>
  <dxfs count="64">
    <dxf>
      <numFmt numFmtId="0" formatCode="General"/>
    </dxf>
    <dxf>
      <numFmt numFmtId="1" formatCode="0"/>
    </dxf>
    <dxf>
      <numFmt numFmtId="1" formatCode="0"/>
    </dxf>
    <dxf>
      <numFmt numFmtId="1" formatCode="0"/>
    </dxf>
    <dxf>
      <numFmt numFmtId="1" formatCode="0"/>
    </dxf>
    <dxf>
      <numFmt numFmtId="1" formatCode="0"/>
    </dxf>
    <dxf>
      <numFmt numFmtId="0" formatCode="General"/>
    </dxf>
    <dxf>
      <numFmt numFmtId="0" formatCode="General"/>
    </dxf>
    <dxf>
      <numFmt numFmtId="27" formatCode="m/d/yyyy\ h:mm"/>
    </dxf>
    <dxf>
      <numFmt numFmtId="1" formatCode="0"/>
    </dxf>
    <dxf>
      <numFmt numFmtId="1" formatCode="0"/>
    </dxf>
    <dxf>
      <numFmt numFmtId="1" formatCode="0"/>
    </dxf>
    <dxf>
      <numFmt numFmtId="1" formatCode="0"/>
    </dxf>
    <dxf>
      <numFmt numFmtId="1" formatCode="0"/>
    </dxf>
    <dxf>
      <numFmt numFmtId="1" formatCode="0"/>
    </dxf>
    <dxf>
      <numFmt numFmtId="0" formatCode="General"/>
    </dxf>
    <dxf>
      <numFmt numFmtId="167" formatCode="[$-F400]h:mm:ss\ AM/PM"/>
    </dxf>
    <dxf>
      <numFmt numFmtId="0" formatCode="General"/>
    </dxf>
    <dxf>
      <numFmt numFmtId="27" formatCode="m/d/yyyy\ h:mm"/>
    </dxf>
    <dxf>
      <numFmt numFmtId="27" formatCode="m/d/yyyy\ h:mm"/>
    </dxf>
    <dxf>
      <numFmt numFmtId="1" formatCode="0"/>
    </dxf>
    <dxf>
      <numFmt numFmtId="0" formatCode="General"/>
    </dxf>
    <dxf>
      <numFmt numFmtId="19" formatCode="m/d/yyyy"/>
    </dxf>
    <dxf>
      <numFmt numFmtId="1" formatCode="0"/>
    </dxf>
    <dxf>
      <numFmt numFmtId="1" formatCode="0"/>
    </dxf>
    <dxf>
      <numFmt numFmtId="19" formatCode="m/d/yyyy"/>
    </dxf>
    <dxf>
      <numFmt numFmtId="1" formatCode="0"/>
    </dxf>
    <dxf>
      <numFmt numFmtId="1" formatCode="0"/>
    </dxf>
    <dxf>
      <numFmt numFmtId="166" formatCode="0.0"/>
      <alignment horizontal="left" textRotation="0" wrapText="0" indent="0" justifyLastLine="0" shrinkToFit="0" readingOrder="0"/>
    </dxf>
    <dxf>
      <numFmt numFmtId="1" formatCode="0"/>
    </dxf>
    <dxf>
      <numFmt numFmtId="166" formatCode="0.0"/>
    </dxf>
    <dxf>
      <numFmt numFmtId="166" formatCode="0.0"/>
    </dxf>
    <dxf>
      <numFmt numFmtId="166" formatCode="0.0"/>
    </dxf>
    <dxf>
      <numFmt numFmtId="166" formatCode="0.0"/>
    </dxf>
    <dxf>
      <numFmt numFmtId="166" formatCode="0.0"/>
    </dxf>
    <dxf>
      <numFmt numFmtId="165" formatCode="[hh]:mm"/>
      <alignment horizontal="left" textRotation="0" wrapText="0" indent="0" justifyLastLine="0" shrinkToFit="0" readingOrder="0"/>
    </dxf>
    <dxf>
      <numFmt numFmtId="19" formatCode="m/d/yyyy"/>
    </dxf>
    <dxf>
      <fill>
        <patternFill>
          <bgColor rgb="FFFF0000"/>
        </patternFill>
      </fill>
    </dxf>
    <dxf>
      <fill>
        <patternFill>
          <bgColor rgb="FFFF6D6D"/>
        </patternFill>
      </fill>
    </dxf>
    <dxf>
      <fill>
        <patternFill>
          <bgColor theme="4" tint="0.39994506668294322"/>
        </patternFill>
      </fill>
    </dxf>
    <dxf>
      <fill>
        <patternFill>
          <bgColor rgb="FFFFFF97"/>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2" formatCode="0.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2" formatCode="0.00"/>
      <fill>
        <patternFill patternType="none">
          <fgColor indexed="64"/>
          <bgColor auto="1"/>
        </patternFill>
      </fill>
      <alignment horizontal="center" vertical="bottom" textRotation="0" wrapText="0" indent="0" justifyLastLine="0" shrinkToFit="0" readingOrder="0"/>
    </dxf>
    <dxf>
      <numFmt numFmtId="19" formatCode="m/d/yyyy"/>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dxf>
    <dxf>
      <font>
        <strike val="0"/>
        <outline val="0"/>
        <shadow val="0"/>
        <u val="none"/>
        <vertAlign val="baseline"/>
        <sz val="11"/>
        <color auto="1"/>
        <name val="Tw Cen MT"/>
        <family val="2"/>
        <scheme val="minor"/>
      </font>
      <numFmt numFmtId="2" formatCode="0.00"/>
      <fill>
        <patternFill patternType="none">
          <fgColor indexed="64"/>
          <bgColor auto="1"/>
        </patternFill>
      </fill>
    </dxf>
    <dxf>
      <fill>
        <patternFill>
          <bgColor rgb="FFFF0000"/>
        </patternFill>
      </fill>
    </dxf>
    <dxf>
      <fill>
        <patternFill>
          <bgColor rgb="FFFFC000"/>
        </patternFill>
      </fill>
    </dxf>
    <dxf>
      <fill>
        <patternFill>
          <bgColor rgb="FF92D050"/>
        </patternFill>
      </fill>
    </dxf>
    <dxf>
      <fill>
        <patternFill>
          <bgColor rgb="FF00B0F0"/>
        </patternFill>
      </fill>
    </dxf>
    <dxf>
      <numFmt numFmtId="1" formatCode="0"/>
    </dxf>
    <dxf>
      <numFmt numFmtId="166" formatCode="0.0"/>
    </dxf>
    <dxf>
      <numFmt numFmtId="1" formatCode="0"/>
    </dxf>
    <dxf>
      <numFmt numFmtId="1" formatCode="0"/>
    </dxf>
    <dxf>
      <numFmt numFmtId="1" formatCode="0"/>
    </dxf>
    <dxf>
      <numFmt numFmtId="19" formatCode="m/d/yyyy"/>
    </dxf>
  </dxfs>
  <tableStyles count="1" defaultTableStyle="TableStyleMedium2" defaultPivotStyle="PivotStyleLight16">
    <tableStyle name="Slicer Style 1" pivot="0" table="0" count="0" xr9:uid="{2D288138-7F03-4D52-AE70-8192F6D83E69}"/>
  </tableStyles>
  <colors>
    <mruColors>
      <color rgb="FF2E7D32"/>
      <color rgb="FFE8F5E9"/>
      <color rgb="FFFF6D6D"/>
      <color rgb="FFFFFF97"/>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2.xml"/><Relationship Id="rId18" Type="http://schemas.microsoft.com/office/2007/relationships/slicerCache" Target="slicerCaches/slicerCache3.xml"/><Relationship Id="rId26" Type="http://schemas.openxmlformats.org/officeDocument/2006/relationships/calcChain" Target="calcChain.xml"/><Relationship Id="rId39" Type="http://schemas.openxmlformats.org/officeDocument/2006/relationships/customXml" Target="../customXml/item13.xml"/><Relationship Id="rId21" Type="http://schemas.openxmlformats.org/officeDocument/2006/relationships/styles" Target="styles.xml"/><Relationship Id="rId34" Type="http://schemas.openxmlformats.org/officeDocument/2006/relationships/customXml" Target="../customXml/item8.xml"/><Relationship Id="rId42" Type="http://schemas.openxmlformats.org/officeDocument/2006/relationships/customXml" Target="../customXml/item16.xml"/><Relationship Id="rId7" Type="http://schemas.openxmlformats.org/officeDocument/2006/relationships/worksheet" Target="worksheets/sheet7.xml"/><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connections" Target="connections.xml"/><Relationship Id="rId29" Type="http://schemas.openxmlformats.org/officeDocument/2006/relationships/customXml" Target="../customXml/item3.xml"/><Relationship Id="rId41"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owerPivotData" Target="model/item.data"/><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openxmlformats.org/officeDocument/2006/relationships/sheetMetadata" Target="metadata.xml"/><Relationship Id="rId28" Type="http://schemas.openxmlformats.org/officeDocument/2006/relationships/customXml" Target="../customXml/item2.xml"/><Relationship Id="rId36" Type="http://schemas.openxmlformats.org/officeDocument/2006/relationships/customXml" Target="../customXml/item10.xml"/><Relationship Id="rId10" Type="http://schemas.openxmlformats.org/officeDocument/2006/relationships/worksheet" Target="worksheets/sheet10.xml"/><Relationship Id="rId19" Type="http://schemas.openxmlformats.org/officeDocument/2006/relationships/theme" Target="theme/theme1.xml"/><Relationship Id="rId31" Type="http://schemas.openxmlformats.org/officeDocument/2006/relationships/customXml" Target="../customXml/item5.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openxmlformats.org/officeDocument/2006/relationships/sharedStrings" Target="sharedStrings.xml"/><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openxmlformats.org/officeDocument/2006/relationships/customXml" Target="../customXml/item1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pivotCacheDefinition" Target="pivotCache/pivotCacheDefinition1.xml"/><Relationship Id="rId17" Type="http://schemas.microsoft.com/office/2007/relationships/slicerCache" Target="slicerCaches/slicerCache2.xml"/><Relationship Id="rId25" Type="http://schemas.microsoft.com/office/2017/10/relationships/person" Target="persons/person.xml"/><Relationship Id="rId33" Type="http://schemas.openxmlformats.org/officeDocument/2006/relationships/customXml" Target="../customXml/item7.xml"/><Relationship Id="rId38" Type="http://schemas.openxmlformats.org/officeDocument/2006/relationships/customXml" Target="../customXml/item12.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[Fitness_Calculator_KM.xlsm]Weekly Progress!PivotTable6</c:name>
    <c:fmtId val="8"/>
  </c:pivotSource>
  <c:chart>
    <c:title>
      <c:tx>
        <c:rich>
          <a:bodyPr rot="0" spcFirstLastPara="1" vertOverflow="ellipsis" vert="horz" wrap="square" anchor="ctr" anchorCtr="1"/>
          <a:lstStyle/>
          <a:p>
            <a:pPr>
              <a:defRPr sz="1600" b="0" i="0" u="none" strike="noStrike" kern="1200" spc="0" baseline="0">
                <a:solidFill>
                  <a:srgbClr val="2E7D32"/>
                </a:solidFill>
                <a:latin typeface="+mn-lt"/>
                <a:ea typeface="+mn-ea"/>
                <a:cs typeface="+mn-cs"/>
              </a:defRPr>
            </a:pPr>
            <a:r>
              <a:rPr lang="en-US" sz="1600" b="1">
                <a:solidFill>
                  <a:srgbClr val="2E7D32"/>
                </a:solidFill>
              </a:rPr>
              <a:t>Weight Trend Over Time</a:t>
            </a:r>
          </a:p>
        </c:rich>
      </c:tx>
      <c:overlay val="0"/>
      <c:spPr>
        <a:noFill/>
        <a:ln>
          <a:noFill/>
        </a:ln>
        <a:effectLst/>
      </c:sp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3"/>
        <c:dLbl>
          <c:idx val="0"/>
          <c:delete val="1"/>
          <c:extLst>
            <c:ext xmlns:c15="http://schemas.microsoft.com/office/drawing/2012/chart" uri="{CE6537A1-D6FC-4f65-9D91-7224C49458BB}"/>
          </c:extLst>
        </c:dLbl>
      </c:pivotFmt>
    </c:pivotFmts>
    <c:plotArea>
      <c:layout/>
      <c:lineChart>
        <c:grouping val="standard"/>
        <c:varyColors val="0"/>
        <c:ser>
          <c:idx val="1"/>
          <c:order val="0"/>
          <c:tx>
            <c:strRef>
              <c:f>'Weekly Progress'!$F$2</c:f>
              <c:strCache>
                <c:ptCount val="1"/>
                <c:pt idx="0">
                  <c:v>Total</c:v>
                </c:pt>
              </c:strCache>
            </c:strRef>
          </c:tx>
          <c:cat>
            <c:strRef>
              <c:f>'Weekly Progress'!$E$3:$E$21</c:f>
              <c:strCache>
                <c:ptCount val="18"/>
                <c:pt idx="0">
                  <c:v>8/19/2025</c:v>
                </c:pt>
                <c:pt idx="1">
                  <c:v>8/20/2025</c:v>
                </c:pt>
                <c:pt idx="2">
                  <c:v>8/21/2025</c:v>
                </c:pt>
                <c:pt idx="3">
                  <c:v>8/22/2025</c:v>
                </c:pt>
                <c:pt idx="4">
                  <c:v>8/23/2025</c:v>
                </c:pt>
                <c:pt idx="5">
                  <c:v>8/24/2025</c:v>
                </c:pt>
                <c:pt idx="6">
                  <c:v>8/25/2025</c:v>
                </c:pt>
                <c:pt idx="7">
                  <c:v>8/26/2025</c:v>
                </c:pt>
                <c:pt idx="8">
                  <c:v>8/27/2025</c:v>
                </c:pt>
                <c:pt idx="9">
                  <c:v>8/28/2025</c:v>
                </c:pt>
                <c:pt idx="10">
                  <c:v>8/29/2025</c:v>
                </c:pt>
                <c:pt idx="11">
                  <c:v>8/30/2025</c:v>
                </c:pt>
                <c:pt idx="12">
                  <c:v>8/31/2025</c:v>
                </c:pt>
                <c:pt idx="13">
                  <c:v>9/1/2025</c:v>
                </c:pt>
                <c:pt idx="14">
                  <c:v>9/2/2025</c:v>
                </c:pt>
                <c:pt idx="15">
                  <c:v>9/3/2025</c:v>
                </c:pt>
                <c:pt idx="16">
                  <c:v>9/4/2025</c:v>
                </c:pt>
                <c:pt idx="17">
                  <c:v>9/5/2025</c:v>
                </c:pt>
              </c:strCache>
            </c:strRef>
          </c:cat>
          <c:val>
            <c:numRef>
              <c:f>'Weekly Progress'!$F$3:$F$21</c:f>
              <c:numCache>
                <c:formatCode>0.00</c:formatCode>
                <c:ptCount val="18"/>
                <c:pt idx="0">
                  <c:v>72</c:v>
                </c:pt>
                <c:pt idx="1">
                  <c:v>72</c:v>
                </c:pt>
                <c:pt idx="2">
                  <c:v>72</c:v>
                </c:pt>
                <c:pt idx="3">
                  <c:v>69</c:v>
                </c:pt>
                <c:pt idx="4">
                  <c:v>69</c:v>
                </c:pt>
                <c:pt idx="5">
                  <c:v>69</c:v>
                </c:pt>
                <c:pt idx="6">
                  <c:v>69.2</c:v>
                </c:pt>
                <c:pt idx="7">
                  <c:v>69.2</c:v>
                </c:pt>
                <c:pt idx="8">
                  <c:v>68.5</c:v>
                </c:pt>
                <c:pt idx="9">
                  <c:v>68.5</c:v>
                </c:pt>
                <c:pt idx="10">
                  <c:v>63.9</c:v>
                </c:pt>
                <c:pt idx="11">
                  <c:v>63.9</c:v>
                </c:pt>
                <c:pt idx="12">
                  <c:v>62.3</c:v>
                </c:pt>
                <c:pt idx="13">
                  <c:v>62.3</c:v>
                </c:pt>
                <c:pt idx="14">
                  <c:v>61.4</c:v>
                </c:pt>
                <c:pt idx="15">
                  <c:v>61.4</c:v>
                </c:pt>
                <c:pt idx="16">
                  <c:v>58</c:v>
                </c:pt>
                <c:pt idx="17">
                  <c:v>58</c:v>
                </c:pt>
              </c:numCache>
            </c:numRef>
          </c:val>
          <c:smooth val="0"/>
          <c:extLst>
            <c:ext xmlns:c16="http://schemas.microsoft.com/office/drawing/2014/chart" uri="{C3380CC4-5D6E-409C-BE32-E72D297353CC}">
              <c16:uniqueId val="{00000004-E858-47AB-A52B-C298311F03A4}"/>
            </c:ext>
          </c:extLst>
        </c:ser>
        <c:dLbls>
          <c:showLegendKey val="0"/>
          <c:showVal val="0"/>
          <c:showCatName val="0"/>
          <c:showSerName val="0"/>
          <c:showPercent val="0"/>
          <c:showBubbleSize val="0"/>
        </c:dLbls>
        <c:marker val="1"/>
        <c:smooth val="0"/>
        <c:axId val="276597168"/>
        <c:axId val="276589968"/>
      </c:lineChart>
      <c:catAx>
        <c:axId val="276597168"/>
        <c:scaling>
          <c:orientation val="minMax"/>
        </c:scaling>
        <c:delete val="0"/>
        <c:axPos val="b"/>
        <c:numFmt formatCode="[$-409]d\-m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2E7D32"/>
                </a:solidFill>
                <a:latin typeface="+mn-lt"/>
                <a:ea typeface="+mn-ea"/>
                <a:cs typeface="+mn-cs"/>
              </a:defRPr>
            </a:pPr>
            <a:endParaRPr lang="LID4096"/>
          </a:p>
        </c:txPr>
        <c:crossAx val="276589968"/>
        <c:crosses val="autoZero"/>
        <c:auto val="1"/>
        <c:lblAlgn val="ctr"/>
        <c:lblOffset val="100"/>
        <c:noMultiLvlLbl val="0"/>
      </c:catAx>
      <c:valAx>
        <c:axId val="276589968"/>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2E7D32"/>
                </a:solidFill>
                <a:latin typeface="+mn-lt"/>
                <a:ea typeface="+mn-ea"/>
                <a:cs typeface="+mn-cs"/>
              </a:defRPr>
            </a:pPr>
            <a:endParaRPr lang="LID4096"/>
          </a:p>
        </c:txPr>
        <c:crossAx val="276597168"/>
        <c:crosses val="autoZero"/>
        <c:crossBetween val="between"/>
      </c:valAx>
      <c:spPr>
        <a:noFill/>
        <a:ln w="25400">
          <a:noFill/>
        </a:ln>
      </c:spPr>
    </c:plotArea>
    <c:plotVisOnly val="1"/>
    <c:dispBlanksAs val="gap"/>
    <c:showDLblsOverMax val="0"/>
    <c:extLst/>
  </c:chart>
  <c:spPr>
    <a:noFill/>
    <a:ln>
      <a:noFill/>
    </a:ln>
  </c:spPr>
  <c:txPr>
    <a:bodyPr/>
    <a:lstStyle/>
    <a:p>
      <a:pPr>
        <a:defRPr/>
      </a:pPr>
      <a:endParaRPr lang="LID4096"/>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[Fitness_Calculator_KM.xlsm]Weekly Progress!PivotTable3</c:name>
    <c:fmtId val="3"/>
  </c:pivotSource>
  <c:chart>
    <c:title>
      <c:tx>
        <c:rich>
          <a:bodyPr rot="0" spcFirstLastPara="1" vertOverflow="ellipsis" vert="horz" wrap="square" anchor="ctr" anchorCtr="1"/>
          <a:lstStyle/>
          <a:p>
            <a:pPr>
              <a:defRPr sz="1600" b="1" i="0" u="none" strike="noStrike" kern="1200" baseline="0">
                <a:ln>
                  <a:noFill/>
                </a:ln>
                <a:solidFill>
                  <a:srgbClr val="2E7D32"/>
                </a:solidFill>
                <a:latin typeface="+mn-lt"/>
                <a:ea typeface="+mn-ea"/>
                <a:cs typeface="+mn-cs"/>
              </a:defRPr>
            </a:pPr>
            <a:r>
              <a:rPr lang="en-US">
                <a:solidFill>
                  <a:srgbClr val="2E7D32"/>
                </a:solidFill>
              </a:rPr>
              <a:t>Calories In Vs Calories Out</a:t>
            </a:r>
          </a:p>
        </c:rich>
      </c:tx>
      <c:overlay val="0"/>
      <c:spPr>
        <a:noFill/>
        <a:ln>
          <a:noFill/>
        </a:ln>
        <a:effectLst/>
      </c:spPr>
      <c:txPr>
        <a:bodyPr rot="0" spcFirstLastPara="1" vertOverflow="ellipsis" vert="horz" wrap="square" anchor="ctr" anchorCtr="1"/>
        <a:lstStyle/>
        <a:p>
          <a:pPr>
            <a:defRPr sz="1600" b="1" i="0" u="none" strike="noStrike" kern="1200" baseline="0">
              <a:ln>
                <a:noFill/>
              </a:ln>
              <a:solidFill>
                <a:srgbClr val="2E7D32"/>
              </a:solidFill>
              <a:latin typeface="+mn-lt"/>
              <a:ea typeface="+mn-ea"/>
              <a:cs typeface="+mn-cs"/>
            </a:defRPr>
          </a:pPr>
          <a:endParaRPr lang="LID4096"/>
        </a:p>
      </c:txPr>
    </c:title>
    <c:autoTitleDeleted val="0"/>
    <c:pivotFmts>
      <c:pivotFmt>
        <c:idx val="0"/>
      </c:pivotFmt>
      <c:pivotFmt>
        <c:idx val="1"/>
      </c:pivotFmt>
      <c:pivotFmt>
        <c:idx val="2"/>
      </c:pivotFmt>
      <c:pivotFmt>
        <c:idx val="3"/>
      </c:pivotFmt>
      <c:pivotFmt>
        <c:idx val="4"/>
        <c:spPr>
          <a:solidFill>
            <a:srgbClr val="FFFF00"/>
          </a:solidFill>
          <a:ln>
            <a:noFill/>
          </a:ln>
          <a:effectLst>
            <a:outerShdw blurRad="63500" dist="25400" dir="5400000" algn="ctr" rotWithShape="0">
              <a:srgbClr val="000000">
                <a:alpha val="69000"/>
              </a:srgbClr>
            </a:outerShdw>
          </a:effectLst>
          <a:scene3d>
            <a:camera prst="orthographicFront">
              <a:rot lat="0" lon="0" rev="0"/>
            </a:camera>
            <a:lightRig rig="balanced" dir="t">
              <a:rot lat="0" lon="0" rev="1200000"/>
            </a:lightRig>
          </a:scene3d>
          <a:sp3d prstMaterial="plastic">
            <a:bevelT w="254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noFill/>
                  </a:ln>
                  <a:solidFill>
                    <a:schemeClr val="bg1">
                      <a:lumMod val="65000"/>
                    </a:schemeClr>
                  </a:solidFill>
                  <a:latin typeface="+mn-lt"/>
                  <a:ea typeface="+mn-ea"/>
                  <a:cs typeface="+mn-cs"/>
                </a:defRPr>
              </a:pPr>
              <a:endParaRPr lang="LID4096"/>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C000"/>
          </a:solidFill>
          <a:ln>
            <a:noFill/>
          </a:ln>
          <a:effectLst>
            <a:outerShdw blurRad="63500" dist="25400" dir="5400000" algn="ctr" rotWithShape="0">
              <a:srgbClr val="000000">
                <a:alpha val="69000"/>
              </a:srgbClr>
            </a:outerShdw>
          </a:effectLst>
          <a:scene3d>
            <a:camera prst="orthographicFront">
              <a:rot lat="0" lon="0" rev="0"/>
            </a:camera>
            <a:lightRig rig="balanced" dir="t">
              <a:rot lat="0" lon="0" rev="1200000"/>
            </a:lightRig>
          </a:scene3d>
          <a:sp3d prstMaterial="plastic">
            <a:bevelT w="254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noFill/>
                  </a:ln>
                  <a:solidFill>
                    <a:schemeClr val="tx2"/>
                  </a:solidFill>
                  <a:latin typeface="+mn-lt"/>
                  <a:ea typeface="+mn-ea"/>
                  <a:cs typeface="+mn-cs"/>
                </a:defRPr>
              </a:pPr>
              <a:endParaRPr lang="LID4096"/>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'Weekly Progress'!$F$47</c:f>
              <c:strCache>
                <c:ptCount val="1"/>
                <c:pt idx="0">
                  <c:v>Calories In</c:v>
                </c:pt>
              </c:strCache>
            </c:strRef>
          </c:tx>
          <c:spPr>
            <a:solidFill>
              <a:srgbClr val="FFFF00"/>
            </a:solidFill>
            <a:ln>
              <a:noFill/>
            </a:ln>
            <a:effectLst>
              <a:outerShdw blurRad="63500" dist="25400" dir="5400000" algn="ctr" rotWithShape="0">
                <a:srgbClr val="000000">
                  <a:alpha val="69000"/>
                </a:srgbClr>
              </a:outerShdw>
            </a:effectLst>
            <a:scene3d>
              <a:camera prst="orthographicFront">
                <a:rot lat="0" lon="0" rev="0"/>
              </a:camera>
              <a:lightRig rig="balanced" dir="t">
                <a:rot lat="0" lon="0" rev="1200000"/>
              </a:lightRig>
            </a:scene3d>
            <a:sp3d prstMaterial="plastic">
              <a:bevelT w="254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noFill/>
                    </a:ln>
                    <a:solidFill>
                      <a:schemeClr val="bg1">
                        <a:lumMod val="65000"/>
                      </a:schemeClr>
                    </a:solidFill>
                    <a:latin typeface="+mn-lt"/>
                    <a:ea typeface="+mn-ea"/>
                    <a:cs typeface="+mn-cs"/>
                  </a:defRPr>
                </a:pPr>
                <a:endParaRPr lang="LID4096"/>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'Weekly Progress'!$E$48:$E$61</c:f>
              <c:strCache>
                <c:ptCount val="13"/>
                <c:pt idx="0">
                  <c:v>8/19/2025</c:v>
                </c:pt>
                <c:pt idx="1">
                  <c:v>8/20/2025</c:v>
                </c:pt>
                <c:pt idx="2">
                  <c:v>8/21/2025</c:v>
                </c:pt>
                <c:pt idx="3">
                  <c:v>8/22/2025</c:v>
                </c:pt>
                <c:pt idx="4">
                  <c:v>8/23/2025</c:v>
                </c:pt>
                <c:pt idx="5">
                  <c:v>8/24/2025</c:v>
                </c:pt>
                <c:pt idx="6">
                  <c:v>8/25/2025</c:v>
                </c:pt>
                <c:pt idx="7">
                  <c:v>8/26/2025</c:v>
                </c:pt>
                <c:pt idx="8">
                  <c:v>8/27/2025</c:v>
                </c:pt>
                <c:pt idx="9">
                  <c:v>8/28/2025</c:v>
                </c:pt>
                <c:pt idx="10">
                  <c:v>8/29/2025</c:v>
                </c:pt>
                <c:pt idx="11">
                  <c:v>8/30/2025</c:v>
                </c:pt>
                <c:pt idx="12">
                  <c:v>9/3/2025</c:v>
                </c:pt>
              </c:strCache>
            </c:strRef>
          </c:cat>
          <c:val>
            <c:numRef>
              <c:f>'Weekly Progress'!$F$48:$F$61</c:f>
              <c:numCache>
                <c:formatCode>0</c:formatCode>
                <c:ptCount val="13"/>
                <c:pt idx="0">
                  <c:v>1276.9000000000001</c:v>
                </c:pt>
                <c:pt idx="1">
                  <c:v>333.1</c:v>
                </c:pt>
                <c:pt idx="2">
                  <c:v>613.75</c:v>
                </c:pt>
                <c:pt idx="3">
                  <c:v>408.80652680652679</c:v>
                </c:pt>
                <c:pt idx="4">
                  <c:v>384.90279720279716</c:v>
                </c:pt>
                <c:pt idx="5">
                  <c:v>242.64545454545453</c:v>
                </c:pt>
                <c:pt idx="6">
                  <c:v>380.70804195804146</c:v>
                </c:pt>
                <c:pt idx="7">
                  <c:v>139.0333916083903</c:v>
                </c:pt>
                <c:pt idx="8">
                  <c:v>66.786635586635356</c:v>
                </c:pt>
                <c:pt idx="9">
                  <c:v>514.7412010211998</c:v>
                </c:pt>
                <c:pt idx="10">
                  <c:v>295.5</c:v>
                </c:pt>
                <c:pt idx="11">
                  <c:v>445.95000000000005</c:v>
                </c:pt>
                <c:pt idx="12">
                  <c:v>1231.5</c:v>
                </c:pt>
              </c:numCache>
            </c:numRef>
          </c:val>
          <c:extLst>
            <c:ext xmlns:c16="http://schemas.microsoft.com/office/drawing/2014/chart" uri="{C3380CC4-5D6E-409C-BE32-E72D297353CC}">
              <c16:uniqueId val="{00000000-D803-446C-9E70-0026F0248BC3}"/>
            </c:ext>
          </c:extLst>
        </c:ser>
        <c:ser>
          <c:idx val="1"/>
          <c:order val="1"/>
          <c:tx>
            <c:strRef>
              <c:f>'Weekly Progress'!$G$47</c:f>
              <c:strCache>
                <c:ptCount val="1"/>
                <c:pt idx="0">
                  <c:v>Calories Out</c:v>
                </c:pt>
              </c:strCache>
            </c:strRef>
          </c:tx>
          <c:spPr>
            <a:solidFill>
              <a:srgbClr val="FFC000"/>
            </a:solidFill>
            <a:ln>
              <a:noFill/>
            </a:ln>
            <a:effectLst>
              <a:outerShdw blurRad="63500" dist="25400" dir="5400000" algn="ctr" rotWithShape="0">
                <a:srgbClr val="000000">
                  <a:alpha val="69000"/>
                </a:srgbClr>
              </a:outerShdw>
            </a:effectLst>
            <a:scene3d>
              <a:camera prst="orthographicFront">
                <a:rot lat="0" lon="0" rev="0"/>
              </a:camera>
              <a:lightRig rig="balanced" dir="t">
                <a:rot lat="0" lon="0" rev="1200000"/>
              </a:lightRig>
            </a:scene3d>
            <a:sp3d prstMaterial="plastic">
              <a:bevelT w="254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noFill/>
                    </a:ln>
                    <a:solidFill>
                      <a:schemeClr val="tx2"/>
                    </a:solidFill>
                    <a:latin typeface="+mn-lt"/>
                    <a:ea typeface="+mn-ea"/>
                    <a:cs typeface="+mn-cs"/>
                  </a:defRPr>
                </a:pPr>
                <a:endParaRPr lang="LID4096"/>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'Weekly Progress'!$E$48:$E$61</c:f>
              <c:strCache>
                <c:ptCount val="13"/>
                <c:pt idx="0">
                  <c:v>8/19/2025</c:v>
                </c:pt>
                <c:pt idx="1">
                  <c:v>8/20/2025</c:v>
                </c:pt>
                <c:pt idx="2">
                  <c:v>8/21/2025</c:v>
                </c:pt>
                <c:pt idx="3">
                  <c:v>8/22/2025</c:v>
                </c:pt>
                <c:pt idx="4">
                  <c:v>8/23/2025</c:v>
                </c:pt>
                <c:pt idx="5">
                  <c:v>8/24/2025</c:v>
                </c:pt>
                <c:pt idx="6">
                  <c:v>8/25/2025</c:v>
                </c:pt>
                <c:pt idx="7">
                  <c:v>8/26/2025</c:v>
                </c:pt>
                <c:pt idx="8">
                  <c:v>8/27/2025</c:v>
                </c:pt>
                <c:pt idx="9">
                  <c:v>8/28/2025</c:v>
                </c:pt>
                <c:pt idx="10">
                  <c:v>8/29/2025</c:v>
                </c:pt>
                <c:pt idx="11">
                  <c:v>8/30/2025</c:v>
                </c:pt>
                <c:pt idx="12">
                  <c:v>9/3/2025</c:v>
                </c:pt>
              </c:strCache>
            </c:strRef>
          </c:cat>
          <c:val>
            <c:numRef>
              <c:f>'Weekly Progress'!$G$48:$G$61</c:f>
              <c:numCache>
                <c:formatCode>0</c:formatCode>
                <c:ptCount val="13"/>
                <c:pt idx="0">
                  <c:v>1134</c:v>
                </c:pt>
                <c:pt idx="1">
                  <c:v>975.2399999999999</c:v>
                </c:pt>
                <c:pt idx="2">
                  <c:v>347.76</c:v>
                </c:pt>
                <c:pt idx="3">
                  <c:v>1207.5</c:v>
                </c:pt>
                <c:pt idx="4">
                  <c:v>724.5</c:v>
                </c:pt>
                <c:pt idx="5">
                  <c:v>1086.75</c:v>
                </c:pt>
                <c:pt idx="6">
                  <c:v>1114.1199999999999</c:v>
                </c:pt>
                <c:pt idx="7">
                  <c:v>1876.703999999999</c:v>
                </c:pt>
                <c:pt idx="8">
                  <c:v>609.6499999999993</c:v>
                </c:pt>
                <c:pt idx="9">
                  <c:v>766.51500000000021</c:v>
                </c:pt>
                <c:pt idx="10">
                  <c:v>747.62999999999977</c:v>
                </c:pt>
                <c:pt idx="11">
                  <c:v>1170.3284999999992</c:v>
                </c:pt>
                <c:pt idx="12">
                  <c:v>257.88</c:v>
                </c:pt>
              </c:numCache>
            </c:numRef>
          </c:val>
          <c:extLst>
            <c:ext xmlns:c16="http://schemas.microsoft.com/office/drawing/2014/chart" uri="{C3380CC4-5D6E-409C-BE32-E72D297353CC}">
              <c16:uniqueId val="{00000001-D803-446C-9E70-0026F0248BC3}"/>
            </c:ext>
          </c:extLst>
        </c:ser>
        <c:dLbls>
          <c:dLblPos val="outEnd"/>
          <c:showLegendKey val="0"/>
          <c:showVal val="1"/>
          <c:showCatName val="0"/>
          <c:showSerName val="0"/>
          <c:showPercent val="0"/>
          <c:showBubbleSize val="0"/>
        </c:dLbls>
        <c:gapWidth val="100"/>
        <c:overlap val="-24"/>
        <c:axId val="174767264"/>
        <c:axId val="174760544"/>
      </c:barChart>
      <c:dateAx>
        <c:axId val="174767264"/>
        <c:scaling>
          <c:orientation val="minMax"/>
        </c:scaling>
        <c:delete val="0"/>
        <c:axPos val="b"/>
        <c:numFmt formatCode="[$-409]d\-mmm;@" sourceLinked="0"/>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noFill/>
                </a:ln>
                <a:solidFill>
                  <a:srgbClr val="2E7D32"/>
                </a:solidFill>
                <a:latin typeface="+mn-lt"/>
                <a:ea typeface="+mn-ea"/>
                <a:cs typeface="+mn-cs"/>
              </a:defRPr>
            </a:pPr>
            <a:endParaRPr lang="LID4096"/>
          </a:p>
        </c:txPr>
        <c:crossAx val="174760544"/>
        <c:crosses val="autoZero"/>
        <c:auto val="0"/>
        <c:lblOffset val="100"/>
        <c:baseTimeUnit val="days"/>
      </c:dateAx>
      <c:valAx>
        <c:axId val="174760544"/>
        <c:scaling>
          <c:orientation val="minMax"/>
        </c:scaling>
        <c:delete val="1"/>
        <c:axPos val="l"/>
        <c:numFmt formatCode="0" sourceLinked="1"/>
        <c:majorTickMark val="none"/>
        <c:minorTickMark val="none"/>
        <c:tickLblPos val="nextTo"/>
        <c:crossAx val="174767264"/>
        <c:crossesAt val="1"/>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ln>
                <a:noFill/>
              </a:ln>
              <a:solidFill>
                <a:schemeClr val="tx2"/>
              </a:solidFill>
              <a:latin typeface="+mn-lt"/>
              <a:ea typeface="+mn-ea"/>
              <a:cs typeface="+mn-cs"/>
            </a:defRPr>
          </a:pPr>
          <a:endParaRPr lang="LID4096"/>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ln>
            <a:noFill/>
          </a:ln>
          <a:solidFill>
            <a:schemeClr val="tx2"/>
          </a:solidFill>
        </a:defRPr>
      </a:pPr>
      <a:endParaRPr lang="LID4096"/>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rgbClr val="2E7D32"/>
                </a:solidFill>
                <a:latin typeface="+mn-lt"/>
                <a:ea typeface="+mn-ea"/>
                <a:cs typeface="+mn-cs"/>
              </a:defRPr>
            </a:pPr>
            <a:r>
              <a:rPr lang="en-US" sz="1600" b="1">
                <a:solidFill>
                  <a:srgbClr val="2E7D32"/>
                </a:solidFill>
              </a:rPr>
              <a:t>Weight Progress Guage</a:t>
            </a:r>
          </a:p>
        </c:rich>
      </c:tx>
      <c:overlay val="0"/>
      <c:spPr>
        <a:noFill/>
        <a:ln>
          <a:noFill/>
        </a:ln>
        <a:effectLst/>
      </c:spPr>
      <c:txPr>
        <a:bodyPr rot="0" spcFirstLastPara="1" vertOverflow="ellipsis" vert="horz" wrap="square" anchor="ctr" anchorCtr="1"/>
        <a:lstStyle/>
        <a:p>
          <a:pPr>
            <a:defRPr sz="1600" b="1" i="0" u="none" strike="noStrike" kern="1200" spc="0" baseline="0">
              <a:solidFill>
                <a:srgbClr val="2E7D32"/>
              </a:solidFill>
              <a:latin typeface="+mn-lt"/>
              <a:ea typeface="+mn-ea"/>
              <a:cs typeface="+mn-cs"/>
            </a:defRPr>
          </a:pPr>
          <a:endParaRPr lang="LID4096"/>
        </a:p>
      </c:txPr>
    </c:title>
    <c:autoTitleDeleted val="0"/>
    <c:plotArea>
      <c:layout>
        <c:manualLayout>
          <c:layoutTarget val="inner"/>
          <c:xMode val="edge"/>
          <c:yMode val="edge"/>
          <c:x val="0.29492617818865002"/>
          <c:y val="0.17897091722595079"/>
          <c:w val="0.43457667258732985"/>
          <c:h val="0.82102908277404929"/>
        </c:manualLayout>
      </c:layout>
      <c:doughnut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D769-43F6-BD85-907D818845EE}"/>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3-D769-43F6-BD85-907D818845EE}"/>
              </c:ext>
            </c:extLst>
          </c:dPt>
          <c:dPt>
            <c:idx val="2"/>
            <c:bubble3D val="0"/>
            <c:spPr>
              <a:noFill/>
              <a:ln w="19050">
                <a:solidFill>
                  <a:schemeClr val="lt1"/>
                </a:solidFill>
              </a:ln>
              <a:effectLst/>
            </c:spPr>
            <c:extLst>
              <c:ext xmlns:c16="http://schemas.microsoft.com/office/drawing/2014/chart" uri="{C3380CC4-5D6E-409C-BE32-E72D297353CC}">
                <c16:uniqueId val="{00000005-D769-43F6-BD85-907D818845EE}"/>
              </c:ext>
            </c:extLst>
          </c:dPt>
          <c:dLbls>
            <c:dLbl>
              <c:idx val="2"/>
              <c:delete val="1"/>
              <c:extLst>
                <c:ext xmlns:c15="http://schemas.microsoft.com/office/drawing/2012/chart" uri="{CE6537A1-D6FC-4f65-9D91-7224C49458BB}"/>
                <c:ext xmlns:c16="http://schemas.microsoft.com/office/drawing/2014/chart" uri="{C3380CC4-5D6E-409C-BE32-E72D297353CC}">
                  <c16:uniqueId val="{00000005-D769-43F6-BD85-907D818845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LID4096"/>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Helper!$B$17:$B$19</c:f>
              <c:numCache>
                <c:formatCode>0</c:formatCode>
                <c:ptCount val="3"/>
                <c:pt idx="0">
                  <c:v>51.851851851851848</c:v>
                </c:pt>
                <c:pt idx="1">
                  <c:v>48.148148148148152</c:v>
                </c:pt>
                <c:pt idx="2">
                  <c:v>100</c:v>
                </c:pt>
              </c:numCache>
            </c:numRef>
          </c:val>
          <c:extLst>
            <c:ext xmlns:c16="http://schemas.microsoft.com/office/drawing/2014/chart" uri="{C3380CC4-5D6E-409C-BE32-E72D297353CC}">
              <c16:uniqueId val="{00000006-D769-43F6-BD85-907D818845EE}"/>
            </c:ext>
          </c:extLst>
        </c:ser>
        <c:dLbls>
          <c:showLegendKey val="0"/>
          <c:showVal val="0"/>
          <c:showCatName val="0"/>
          <c:showSerName val="0"/>
          <c:showPercent val="0"/>
          <c:showBubbleSize val="0"/>
          <c:showLeaderLines val="1"/>
        </c:dLbls>
        <c:firstSliceAng val="27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LID4096"/>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rgbClr val="2E7D32"/>
                </a:solidFill>
                <a:latin typeface="+mn-lt"/>
                <a:ea typeface="+mn-ea"/>
                <a:cs typeface="+mn-cs"/>
              </a:defRPr>
            </a:pPr>
            <a:r>
              <a:rPr lang="en-US" sz="1600" b="1">
                <a:solidFill>
                  <a:srgbClr val="2E7D32"/>
                </a:solidFill>
              </a:rPr>
              <a:t>Daily Records</a:t>
            </a:r>
          </a:p>
        </c:rich>
      </c:tx>
      <c:overlay val="0"/>
      <c:spPr>
        <a:noFill/>
        <a:ln>
          <a:noFill/>
        </a:ln>
        <a:effectLst/>
      </c:spPr>
      <c:txPr>
        <a:bodyPr rot="0" spcFirstLastPara="1" vertOverflow="ellipsis" vert="horz" wrap="square" anchor="ctr" anchorCtr="1"/>
        <a:lstStyle/>
        <a:p>
          <a:pPr>
            <a:defRPr sz="1600" b="1" i="0" u="none" strike="noStrike" kern="1200" spc="0" baseline="0">
              <a:solidFill>
                <a:srgbClr val="2E7D32"/>
              </a:solidFill>
              <a:latin typeface="+mn-lt"/>
              <a:ea typeface="+mn-ea"/>
              <a:cs typeface="+mn-cs"/>
            </a:defRPr>
          </a:pPr>
          <a:endParaRPr lang="LID4096"/>
        </a:p>
      </c:txPr>
    </c:title>
    <c:autoTitleDeleted val="0"/>
    <c:plotArea>
      <c:layout/>
      <c:ofPieChart>
        <c:ofPieType val="pie"/>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CA9-46C1-93FF-6A2CD80B290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CA9-46C1-93FF-6A2CD80B290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CA9-46C1-93FF-6A2CD80B290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CA9-46C1-93FF-6A2CD80B290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CA9-46C1-93FF-6A2CD80B290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8CA9-46C1-93FF-6A2CD80B290F}"/>
              </c:ext>
            </c:extLst>
          </c:dPt>
          <c:dLbls>
            <c:dLbl>
              <c:idx val="0"/>
              <c:layout>
                <c:manualLayout>
                  <c:x val="4.7816961116281059E-2"/>
                  <c:y val="-6.1077290136675857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CA9-46C1-93FF-6A2CD80B290F}"/>
                </c:ext>
              </c:extLst>
            </c:dLbl>
            <c:dLbl>
              <c:idx val="2"/>
              <c:layout>
                <c:manualLayout>
                  <c:x val="2.7873107903965952E-2"/>
                  <c:y val="-1.3533849364304306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CA9-46C1-93FF-6A2CD80B290F}"/>
                </c:ext>
              </c:extLst>
            </c:dLbl>
            <c:dLbl>
              <c:idx val="3"/>
              <c:layout>
                <c:manualLayout>
                  <c:x val="1.9722548927152413E-2"/>
                  <c:y val="-2.1226909480793914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CA9-46C1-93FF-6A2CD80B290F}"/>
                </c:ext>
              </c:extLst>
            </c:dLbl>
            <c:dLbl>
              <c:idx val="4"/>
              <c:layout>
                <c:manualLayout>
                  <c:x val="0.29396804588538616"/>
                  <c:y val="-4.5596332812108356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8CA9-46C1-93FF-6A2CD80B290F}"/>
                </c:ext>
              </c:extLst>
            </c:dLbl>
            <c:dLbl>
              <c:idx val="5"/>
              <c:delete val="1"/>
              <c:extLst>
                <c:ext xmlns:c15="http://schemas.microsoft.com/office/drawing/2012/chart" uri="{CE6537A1-D6FC-4f65-9D91-7224C49458BB}"/>
                <c:ext xmlns:c16="http://schemas.microsoft.com/office/drawing/2014/chart" uri="{C3380CC4-5D6E-409C-BE32-E72D297353CC}">
                  <c16:uniqueId val="{0000000B-8CA9-46C1-93FF-6A2CD80B290F}"/>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2E7D32"/>
                    </a:solidFill>
                    <a:latin typeface="+mn-lt"/>
                    <a:ea typeface="+mn-ea"/>
                    <a:cs typeface="+mn-cs"/>
                  </a:defRPr>
                </a:pPr>
                <a:endParaRPr lang="LID4096"/>
              </a:p>
            </c:txPr>
            <c:dLblPos val="bestFit"/>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Helper!$N$2:$N$6</c:f>
              <c:strCache>
                <c:ptCount val="5"/>
                <c:pt idx="0">
                  <c:v>Calories (kcal)</c:v>
                </c:pt>
                <c:pt idx="1">
                  <c:v>Sleep (hrs)</c:v>
                </c:pt>
                <c:pt idx="2">
                  <c:v>Waters (ml)</c:v>
                </c:pt>
                <c:pt idx="3">
                  <c:v>Duration (mins)</c:v>
                </c:pt>
                <c:pt idx="4">
                  <c:v>Calories Burned (kcal)</c:v>
                </c:pt>
              </c:strCache>
            </c:strRef>
          </c:cat>
          <c:val>
            <c:numRef>
              <c:f>Helper!$O$2:$O$6</c:f>
              <c:numCache>
                <c:formatCode>0</c:formatCode>
                <c:ptCount val="5"/>
                <c:pt idx="0">
                  <c:v>1231.5</c:v>
                </c:pt>
                <c:pt idx="1">
                  <c:v>8</c:v>
                </c:pt>
                <c:pt idx="2">
                  <c:v>2500</c:v>
                </c:pt>
                <c:pt idx="3">
                  <c:v>60</c:v>
                </c:pt>
                <c:pt idx="4">
                  <c:v>213.15</c:v>
                </c:pt>
              </c:numCache>
            </c:numRef>
          </c:val>
          <c:extLst>
            <c:ext xmlns:c16="http://schemas.microsoft.com/office/drawing/2014/chart" uri="{C3380CC4-5D6E-409C-BE32-E72D297353CC}">
              <c16:uniqueId val="{0000000C-8CA9-46C1-93FF-6A2CD80B290F}"/>
            </c:ext>
          </c:extLst>
        </c:ser>
        <c:dLbls>
          <c:dLblPos val="bestFit"/>
          <c:showLegendKey val="0"/>
          <c:showVal val="1"/>
          <c:showCatName val="0"/>
          <c:showSerName val="0"/>
          <c:showPercent val="0"/>
          <c:showBubbleSize val="0"/>
          <c:showLeaderLines val="1"/>
        </c:dLbls>
        <c:gapWidth val="100"/>
        <c:secondPieSize val="75"/>
        <c:serLines>
          <c:spPr>
            <a:ln w="9525" cap="flat" cmpd="sng" algn="ctr">
              <a:solidFill>
                <a:schemeClr val="tx1">
                  <a:lumMod val="35000"/>
                  <a:lumOff val="65000"/>
                </a:schemeClr>
              </a:solidFill>
              <a:round/>
            </a:ln>
            <a:effectLst/>
          </c:spPr>
        </c:serLines>
      </c:of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LID4096"/>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3" Type="http://schemas.openxmlformats.org/officeDocument/2006/relationships/image" Target="../media/image2.png"/><Relationship Id="rId7"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chart" Target="../charts/chart4.xml"/><Relationship Id="rId5" Type="http://schemas.openxmlformats.org/officeDocument/2006/relationships/image" Target="../media/image4.png"/><Relationship Id="rId10" Type="http://schemas.openxmlformats.org/officeDocument/2006/relationships/chart" Target="../charts/chart3.xml"/><Relationship Id="rId4" Type="http://schemas.openxmlformats.org/officeDocument/2006/relationships/image" Target="../media/image3.png"/><Relationship Id="rId9" Type="http://schemas.openxmlformats.org/officeDocument/2006/relationships/image" Target="../media/image7.jpeg"/></Relationships>
</file>

<file path=xl/drawings/_rels/drawing4.xml.rels><?xml version="1.0" encoding="UTF-8" standalone="yes"?>
<Relationships xmlns="http://schemas.openxmlformats.org/package/2006/relationships"><Relationship Id="rId2" Type="http://schemas.openxmlformats.org/officeDocument/2006/relationships/image" Target="../media/image8.png"/><Relationship Id="rId1" Type="http://schemas.microsoft.com/office/2011/relationships/webextension" Target="../webextensions/webextension1.xml"/></Relationships>
</file>

<file path=xl/drawings/_rels/drawing5.xml.rels><?xml version="1.0" encoding="UTF-8" standalone="yes"?>
<Relationships xmlns="http://schemas.openxmlformats.org/package/2006/relationships"><Relationship Id="rId2" Type="http://schemas.openxmlformats.org/officeDocument/2006/relationships/image" Target="../media/image9.png"/><Relationship Id="rId1" Type="http://schemas.microsoft.com/office/2011/relationships/webextension" Target="../webextensions/webextension2.xml"/></Relationships>
</file>

<file path=xl/drawings/_rels/drawing6.xml.rels><?xml version="1.0" encoding="UTF-8" standalone="yes"?>
<Relationships xmlns="http://schemas.openxmlformats.org/package/2006/relationships"><Relationship Id="rId2" Type="http://schemas.openxmlformats.org/officeDocument/2006/relationships/image" Target="../media/image10.png"/><Relationship Id="rId1" Type="http://schemas.microsoft.com/office/2011/relationships/webextension" Target="../webextensions/webextension3.xml"/></Relationships>
</file>

<file path=xl/drawings/drawing1.xml><?xml version="1.0" encoding="utf-8"?>
<xdr:wsDr xmlns:xdr="http://schemas.openxmlformats.org/drawingml/2006/spreadsheetDrawing" xmlns:a="http://schemas.openxmlformats.org/drawingml/2006/main">
  <xdr:twoCellAnchor>
    <xdr:from>
      <xdr:col>14</xdr:col>
      <xdr:colOff>415501</xdr:colOff>
      <xdr:row>29</xdr:row>
      <xdr:rowOff>39582</xdr:rowOff>
    </xdr:from>
    <xdr:to>
      <xdr:col>24</xdr:col>
      <xdr:colOff>205740</xdr:colOff>
      <xdr:row>43</xdr:row>
      <xdr:rowOff>87630</xdr:rowOff>
    </xdr:to>
    <xdr:sp macro="" textlink="">
      <xdr:nvSpPr>
        <xdr:cNvPr id="37" name="Rectangle: Rounded Corners 36">
          <a:extLst>
            <a:ext uri="{FF2B5EF4-FFF2-40B4-BE49-F238E27FC236}">
              <a16:creationId xmlns:a16="http://schemas.microsoft.com/office/drawing/2014/main" id="{3FFD542D-ECC7-006A-5129-538807F002B3}"/>
            </a:ext>
          </a:extLst>
        </xdr:cNvPr>
        <xdr:cNvSpPr/>
      </xdr:nvSpPr>
      <xdr:spPr>
        <a:xfrm>
          <a:off x="9902401" y="5011632"/>
          <a:ext cx="6457739" cy="2448348"/>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14</xdr:col>
      <xdr:colOff>402590</xdr:colOff>
      <xdr:row>12</xdr:row>
      <xdr:rowOff>92288</xdr:rowOff>
    </xdr:from>
    <xdr:to>
      <xdr:col>24</xdr:col>
      <xdr:colOff>217170</xdr:colOff>
      <xdr:row>28</xdr:row>
      <xdr:rowOff>114300</xdr:rowOff>
    </xdr:to>
    <xdr:sp macro="" textlink="">
      <xdr:nvSpPr>
        <xdr:cNvPr id="33" name="Rectangle: Rounded Corners 32">
          <a:extLst>
            <a:ext uri="{FF2B5EF4-FFF2-40B4-BE49-F238E27FC236}">
              <a16:creationId xmlns:a16="http://schemas.microsoft.com/office/drawing/2014/main" id="{774299D6-0ED1-21CF-3E82-C33B605AC79D}"/>
            </a:ext>
          </a:extLst>
        </xdr:cNvPr>
        <xdr:cNvSpPr/>
      </xdr:nvSpPr>
      <xdr:spPr>
        <a:xfrm>
          <a:off x="9889490" y="2149688"/>
          <a:ext cx="6482080" cy="2765212"/>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7</xdr:col>
      <xdr:colOff>419100</xdr:colOff>
      <xdr:row>12</xdr:row>
      <xdr:rowOff>60537</xdr:rowOff>
    </xdr:from>
    <xdr:to>
      <xdr:col>14</xdr:col>
      <xdr:colOff>245533</xdr:colOff>
      <xdr:row>28</xdr:row>
      <xdr:rowOff>140970</xdr:rowOff>
    </xdr:to>
    <xdr:sp macro="" textlink="">
      <xdr:nvSpPr>
        <xdr:cNvPr id="23" name="Rectangle: Rounded Corners 22">
          <a:extLst>
            <a:ext uri="{FF2B5EF4-FFF2-40B4-BE49-F238E27FC236}">
              <a16:creationId xmlns:a16="http://schemas.microsoft.com/office/drawing/2014/main" id="{F7B0B76C-1C97-9220-E3FE-F38045259165}"/>
            </a:ext>
          </a:extLst>
        </xdr:cNvPr>
        <xdr:cNvSpPr/>
      </xdr:nvSpPr>
      <xdr:spPr>
        <a:xfrm>
          <a:off x="5238750" y="2117937"/>
          <a:ext cx="4493683" cy="2823633"/>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14</xdr:col>
      <xdr:colOff>482917</xdr:colOff>
      <xdr:row>29</xdr:row>
      <xdr:rowOff>58101</xdr:rowOff>
    </xdr:from>
    <xdr:to>
      <xdr:col>24</xdr:col>
      <xdr:colOff>144780</xdr:colOff>
      <xdr:row>43</xdr:row>
      <xdr:rowOff>132927</xdr:rowOff>
    </xdr:to>
    <xdr:graphicFrame macro="">
      <xdr:nvGraphicFramePr>
        <xdr:cNvPr id="14" name="Chart 13">
          <a:extLst>
            <a:ext uri="{FF2B5EF4-FFF2-40B4-BE49-F238E27FC236}">
              <a16:creationId xmlns:a16="http://schemas.microsoft.com/office/drawing/2014/main" id="{8AF56D38-B3AD-4137-A399-736EE691F9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47625</xdr:colOff>
      <xdr:row>0</xdr:row>
      <xdr:rowOff>57150</xdr:rowOff>
    </xdr:from>
    <xdr:to>
      <xdr:col>3</xdr:col>
      <xdr:colOff>0</xdr:colOff>
      <xdr:row>43</xdr:row>
      <xdr:rowOff>10584</xdr:rowOff>
    </xdr:to>
    <xdr:grpSp>
      <xdr:nvGrpSpPr>
        <xdr:cNvPr id="16" name="Group 15">
          <a:extLst>
            <a:ext uri="{FF2B5EF4-FFF2-40B4-BE49-F238E27FC236}">
              <a16:creationId xmlns:a16="http://schemas.microsoft.com/office/drawing/2014/main" id="{E6DFD19A-F7DC-4D7C-97F5-2B2681EC62E7}"/>
            </a:ext>
          </a:extLst>
        </xdr:cNvPr>
        <xdr:cNvGrpSpPr/>
      </xdr:nvGrpSpPr>
      <xdr:grpSpPr>
        <a:xfrm>
          <a:off x="49530" y="53340"/>
          <a:ext cx="2103120" cy="7331499"/>
          <a:chOff x="60960" y="175260"/>
          <a:chExt cx="1950720" cy="4630420"/>
        </a:xfrm>
        <a:solidFill>
          <a:sysClr val="window" lastClr="FFFFFF"/>
        </a:solidFill>
      </xdr:grpSpPr>
      <xdr:sp macro="[0]!Sheet1.GoToSheet" textlink="">
        <xdr:nvSpPr>
          <xdr:cNvPr id="24" name="Nav_Instructions">
            <a:extLst>
              <a:ext uri="{FF2B5EF4-FFF2-40B4-BE49-F238E27FC236}">
                <a16:creationId xmlns:a16="http://schemas.microsoft.com/office/drawing/2014/main" id="{3F42D723-4EC6-5B3D-8C28-56981E5A46D0}"/>
              </a:ext>
            </a:extLst>
          </xdr:cNvPr>
          <xdr:cNvSpPr/>
        </xdr:nvSpPr>
        <xdr:spPr>
          <a:xfrm>
            <a:off x="63500" y="703580"/>
            <a:ext cx="1711960" cy="457200"/>
          </a:xfrm>
          <a:prstGeom prst="roundRect">
            <a:avLst/>
          </a:prstGeom>
          <a:grp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2E7D32"/>
                </a:solidFill>
                <a:latin typeface="Amasis MT Pro Medium" panose="02040604050005020304" pitchFamily="18" charset="0"/>
              </a:rPr>
              <a:t>Instructions</a:t>
            </a:r>
            <a:endParaRPr lang="LID4096" sz="1400" b="1">
              <a:solidFill>
                <a:srgbClr val="2E7D32"/>
              </a:solidFill>
              <a:latin typeface="Amasis MT Pro Medium" panose="02040604050005020304" pitchFamily="18" charset="0"/>
            </a:endParaRPr>
          </a:p>
        </xdr:txBody>
      </xdr:sp>
      <xdr:sp macro="[0]!Sheet1.GoToSheet" textlink="">
        <xdr:nvSpPr>
          <xdr:cNvPr id="25" name="Nav_Body Measurements Log">
            <a:extLst>
              <a:ext uri="{FF2B5EF4-FFF2-40B4-BE49-F238E27FC236}">
                <a16:creationId xmlns:a16="http://schemas.microsoft.com/office/drawing/2014/main" id="{C1693DE4-BFC8-7336-FB45-2D2F4A5B6B7E}"/>
              </a:ext>
            </a:extLst>
          </xdr:cNvPr>
          <xdr:cNvSpPr/>
        </xdr:nvSpPr>
        <xdr:spPr>
          <a:xfrm>
            <a:off x="63500" y="1224280"/>
            <a:ext cx="1711960" cy="457200"/>
          </a:xfrm>
          <a:prstGeom prst="roundRect">
            <a:avLst/>
          </a:prstGeom>
          <a:grp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2E7D32"/>
                </a:solidFill>
                <a:latin typeface="Amasis MT Pro Medium" panose="02040604050005020304" pitchFamily="18" charset="0"/>
              </a:rPr>
              <a:t>Body Measurements Log</a:t>
            </a:r>
            <a:endParaRPr lang="LID4096" sz="1400" b="1">
              <a:solidFill>
                <a:srgbClr val="2E7D32"/>
              </a:solidFill>
              <a:latin typeface="Amasis MT Pro Medium" panose="02040604050005020304" pitchFamily="18" charset="0"/>
            </a:endParaRPr>
          </a:p>
        </xdr:txBody>
      </xdr:sp>
      <xdr:sp macro="[0]!Sheet1.GoToSheet" textlink="">
        <xdr:nvSpPr>
          <xdr:cNvPr id="26" name="Nav_Workout Log">
            <a:extLst>
              <a:ext uri="{FF2B5EF4-FFF2-40B4-BE49-F238E27FC236}">
                <a16:creationId xmlns:a16="http://schemas.microsoft.com/office/drawing/2014/main" id="{807E1B06-F49B-AC3A-0751-D8C8D23C29E3}"/>
              </a:ext>
            </a:extLst>
          </xdr:cNvPr>
          <xdr:cNvSpPr/>
        </xdr:nvSpPr>
        <xdr:spPr>
          <a:xfrm>
            <a:off x="63500" y="1744980"/>
            <a:ext cx="1711960" cy="457200"/>
          </a:xfrm>
          <a:prstGeom prst="roundRect">
            <a:avLst/>
          </a:prstGeom>
          <a:grp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2E7D32"/>
                </a:solidFill>
                <a:latin typeface="Amasis MT Pro Medium" panose="02040604050005020304" pitchFamily="18" charset="0"/>
              </a:rPr>
              <a:t>Workout Log</a:t>
            </a:r>
            <a:endParaRPr lang="LID4096" sz="1400" b="1">
              <a:solidFill>
                <a:srgbClr val="2E7D32"/>
              </a:solidFill>
              <a:latin typeface="Amasis MT Pro Medium" panose="02040604050005020304" pitchFamily="18" charset="0"/>
            </a:endParaRPr>
          </a:p>
        </xdr:txBody>
      </xdr:sp>
      <xdr:sp macro="[0]!Sheet1.GoToSheet" textlink="">
        <xdr:nvSpPr>
          <xdr:cNvPr id="27" name="Nav_Diet Plan Log">
            <a:extLst>
              <a:ext uri="{FF2B5EF4-FFF2-40B4-BE49-F238E27FC236}">
                <a16:creationId xmlns:a16="http://schemas.microsoft.com/office/drawing/2014/main" id="{46B9ECD9-E724-6CDE-9F03-17E94B52A4A7}"/>
              </a:ext>
            </a:extLst>
          </xdr:cNvPr>
          <xdr:cNvSpPr/>
        </xdr:nvSpPr>
        <xdr:spPr>
          <a:xfrm>
            <a:off x="63500" y="2265680"/>
            <a:ext cx="1711960" cy="457200"/>
          </a:xfrm>
          <a:prstGeom prst="roundRect">
            <a:avLst/>
          </a:prstGeom>
          <a:grp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2E7D32"/>
                </a:solidFill>
                <a:latin typeface="Amasis MT Pro Medium" panose="02040604050005020304" pitchFamily="18" charset="0"/>
              </a:rPr>
              <a:t>Diet Plan Log</a:t>
            </a:r>
            <a:endParaRPr lang="LID4096" sz="1400" b="1">
              <a:solidFill>
                <a:srgbClr val="2E7D32"/>
              </a:solidFill>
              <a:latin typeface="Amasis MT Pro Medium" panose="02040604050005020304" pitchFamily="18" charset="0"/>
            </a:endParaRPr>
          </a:p>
        </xdr:txBody>
      </xdr:sp>
      <xdr:sp macro="[0]!Sheet1.GoToSheet" textlink="">
        <xdr:nvSpPr>
          <xdr:cNvPr id="28" name="Nav_FoodDB">
            <a:extLst>
              <a:ext uri="{FF2B5EF4-FFF2-40B4-BE49-F238E27FC236}">
                <a16:creationId xmlns:a16="http://schemas.microsoft.com/office/drawing/2014/main" id="{D9FF0991-0E67-651A-00A6-A426FD64463B}"/>
              </a:ext>
            </a:extLst>
          </xdr:cNvPr>
          <xdr:cNvSpPr/>
        </xdr:nvSpPr>
        <xdr:spPr>
          <a:xfrm>
            <a:off x="63500" y="2786380"/>
            <a:ext cx="1711960" cy="457200"/>
          </a:xfrm>
          <a:prstGeom prst="roundRect">
            <a:avLst/>
          </a:prstGeom>
          <a:grp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2E7D32"/>
                </a:solidFill>
                <a:latin typeface="Amasis MT Pro Medium" panose="02040604050005020304" pitchFamily="18" charset="0"/>
              </a:rPr>
              <a:t>FoodDB</a:t>
            </a:r>
            <a:endParaRPr lang="LID4096" sz="1400" b="1">
              <a:solidFill>
                <a:srgbClr val="2E7D32"/>
              </a:solidFill>
              <a:latin typeface="Amasis MT Pro Medium" panose="02040604050005020304" pitchFamily="18" charset="0"/>
            </a:endParaRPr>
          </a:p>
        </xdr:txBody>
      </xdr:sp>
      <xdr:sp macro="[0]!Sheet1.GoToSheet" textlink="">
        <xdr:nvSpPr>
          <xdr:cNvPr id="29" name="Nav_ExerciseDB">
            <a:extLst>
              <a:ext uri="{FF2B5EF4-FFF2-40B4-BE49-F238E27FC236}">
                <a16:creationId xmlns:a16="http://schemas.microsoft.com/office/drawing/2014/main" id="{501E6412-83BD-F896-68D8-567D876E794F}"/>
              </a:ext>
            </a:extLst>
          </xdr:cNvPr>
          <xdr:cNvSpPr/>
        </xdr:nvSpPr>
        <xdr:spPr>
          <a:xfrm>
            <a:off x="63500" y="3307080"/>
            <a:ext cx="1711960" cy="457200"/>
          </a:xfrm>
          <a:prstGeom prst="roundRect">
            <a:avLst/>
          </a:prstGeom>
          <a:grp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2E7D32"/>
                </a:solidFill>
                <a:latin typeface="Amasis MT Pro Medium" panose="02040604050005020304" pitchFamily="18" charset="0"/>
              </a:rPr>
              <a:t>ExerciseDB</a:t>
            </a:r>
            <a:endParaRPr lang="LID4096" sz="1400" b="1">
              <a:solidFill>
                <a:srgbClr val="2E7D32"/>
              </a:solidFill>
              <a:latin typeface="Amasis MT Pro Medium" panose="02040604050005020304" pitchFamily="18" charset="0"/>
            </a:endParaRPr>
          </a:p>
        </xdr:txBody>
      </xdr:sp>
      <xdr:sp macro="[0]!Sheet1.GoToSheet" textlink="">
        <xdr:nvSpPr>
          <xdr:cNvPr id="30" name="Nav_Weekly Progress">
            <a:extLst>
              <a:ext uri="{FF2B5EF4-FFF2-40B4-BE49-F238E27FC236}">
                <a16:creationId xmlns:a16="http://schemas.microsoft.com/office/drawing/2014/main" id="{8A8EA1D0-ABB7-3F0C-9679-307AB938B581}"/>
              </a:ext>
            </a:extLst>
          </xdr:cNvPr>
          <xdr:cNvSpPr/>
        </xdr:nvSpPr>
        <xdr:spPr>
          <a:xfrm>
            <a:off x="63500" y="3827780"/>
            <a:ext cx="1711960" cy="457200"/>
          </a:xfrm>
          <a:prstGeom prst="roundRect">
            <a:avLst/>
          </a:prstGeom>
          <a:grp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2E7D32"/>
                </a:solidFill>
                <a:latin typeface="Amasis MT Pro Medium" panose="02040604050005020304" pitchFamily="18" charset="0"/>
              </a:rPr>
              <a:t>Weekly Progress</a:t>
            </a:r>
            <a:endParaRPr lang="LID4096" sz="1400" b="1">
              <a:solidFill>
                <a:srgbClr val="2E7D32"/>
              </a:solidFill>
              <a:latin typeface="Amasis MT Pro Medium" panose="02040604050005020304" pitchFamily="18" charset="0"/>
            </a:endParaRPr>
          </a:p>
        </xdr:txBody>
      </xdr:sp>
      <xdr:sp macro="[0]!Sheet1.GoToSheet" textlink="">
        <xdr:nvSpPr>
          <xdr:cNvPr id="31" name="Nav_Dashboard">
            <a:extLst>
              <a:ext uri="{FF2B5EF4-FFF2-40B4-BE49-F238E27FC236}">
                <a16:creationId xmlns:a16="http://schemas.microsoft.com/office/drawing/2014/main" id="{4385728F-684E-AFF1-7EE2-F71D7C726B75}"/>
              </a:ext>
            </a:extLst>
          </xdr:cNvPr>
          <xdr:cNvSpPr/>
        </xdr:nvSpPr>
        <xdr:spPr>
          <a:xfrm>
            <a:off x="63500" y="4348480"/>
            <a:ext cx="1711960" cy="457200"/>
          </a:xfrm>
          <a:prstGeom prst="roundRect">
            <a:avLst/>
          </a:prstGeom>
          <a:grp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2E7D32"/>
                </a:solidFill>
                <a:latin typeface="Amasis MT Pro Medium" panose="02040604050005020304" pitchFamily="18" charset="0"/>
              </a:rPr>
              <a:t>Dashboard</a:t>
            </a:r>
            <a:endParaRPr lang="LID4096" sz="1400" b="1">
              <a:solidFill>
                <a:srgbClr val="2E7D32"/>
              </a:solidFill>
              <a:latin typeface="Amasis MT Pro Medium" panose="02040604050005020304" pitchFamily="18" charset="0"/>
            </a:endParaRPr>
          </a:p>
        </xdr:txBody>
      </xdr:sp>
      <xdr:sp macro="[0]!Sheet1.GoToSheet" textlink="">
        <xdr:nvSpPr>
          <xdr:cNvPr id="32" name="Nav_Body Measurements Log">
            <a:extLst>
              <a:ext uri="{FF2B5EF4-FFF2-40B4-BE49-F238E27FC236}">
                <a16:creationId xmlns:a16="http://schemas.microsoft.com/office/drawing/2014/main" id="{9B1D9E9B-6BC9-FF4E-BB87-79FC11C3A88A}"/>
              </a:ext>
            </a:extLst>
          </xdr:cNvPr>
          <xdr:cNvSpPr/>
        </xdr:nvSpPr>
        <xdr:spPr>
          <a:xfrm>
            <a:off x="60960" y="175260"/>
            <a:ext cx="1950720" cy="457200"/>
          </a:xfrm>
          <a:prstGeom prst="roundRect">
            <a:avLst/>
          </a:prstGeom>
          <a:grp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800" b="1">
                <a:solidFill>
                  <a:srgbClr val="2E7D32"/>
                </a:solidFill>
                <a:latin typeface="Amasis MT Pro Medium" panose="02040604050005020304" pitchFamily="18" charset="0"/>
              </a:rPr>
              <a:t>Navigation</a:t>
            </a:r>
            <a:r>
              <a:rPr lang="en-US" sz="1800" b="1" baseline="0">
                <a:solidFill>
                  <a:srgbClr val="2E7D32"/>
                </a:solidFill>
                <a:latin typeface="Amasis MT Pro Medium" panose="02040604050005020304" pitchFamily="18" charset="0"/>
              </a:rPr>
              <a:t> Panel</a:t>
            </a:r>
            <a:endParaRPr lang="LID4096" sz="1800" b="1">
              <a:solidFill>
                <a:srgbClr val="2E7D32"/>
              </a:solidFill>
              <a:latin typeface="Amasis MT Pro Medium" panose="02040604050005020304" pitchFamily="18" charset="0"/>
            </a:endParaRPr>
          </a:p>
        </xdr:txBody>
      </xdr:sp>
    </xdr:grpSp>
    <xdr:clientData/>
  </xdr:twoCellAnchor>
  <xdr:twoCellAnchor>
    <xdr:from>
      <xdr:col>13</xdr:col>
      <xdr:colOff>493395</xdr:colOff>
      <xdr:row>0</xdr:row>
      <xdr:rowOff>91440</xdr:rowOff>
    </xdr:from>
    <xdr:to>
      <xdr:col>19</xdr:col>
      <xdr:colOff>379095</xdr:colOff>
      <xdr:row>3</xdr:row>
      <xdr:rowOff>0</xdr:rowOff>
    </xdr:to>
    <xdr:sp macro="" textlink="">
      <xdr:nvSpPr>
        <xdr:cNvPr id="3" name="Rectangle 2">
          <a:extLst>
            <a:ext uri="{FF2B5EF4-FFF2-40B4-BE49-F238E27FC236}">
              <a16:creationId xmlns:a16="http://schemas.microsoft.com/office/drawing/2014/main" id="{B8CF1484-8421-403B-A75B-565E5B37A7CB}"/>
            </a:ext>
          </a:extLst>
        </xdr:cNvPr>
        <xdr:cNvSpPr/>
      </xdr:nvSpPr>
      <xdr:spPr>
        <a:xfrm>
          <a:off x="9313545" y="91440"/>
          <a:ext cx="3886200" cy="42291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ysClr val="windowText" lastClr="000000"/>
              </a:solidFill>
              <a:latin typeface="Amasis MT Pro Black" panose="02040A04050005020304" pitchFamily="18" charset="0"/>
            </a:rPr>
            <a:t>My Fitness Dashboard</a:t>
          </a:r>
          <a:endParaRPr lang="LID4096" sz="2400">
            <a:solidFill>
              <a:sysClr val="windowText" lastClr="000000"/>
            </a:solidFill>
            <a:latin typeface="Amasis MT Pro Black" panose="02040A04050005020304" pitchFamily="18" charset="0"/>
          </a:endParaRPr>
        </a:p>
      </xdr:txBody>
    </xdr:sp>
    <xdr:clientData/>
  </xdr:twoCellAnchor>
  <xdr:twoCellAnchor>
    <xdr:from>
      <xdr:col>2</xdr:col>
      <xdr:colOff>666750</xdr:colOff>
      <xdr:row>25</xdr:row>
      <xdr:rowOff>55027</xdr:rowOff>
    </xdr:from>
    <xdr:to>
      <xdr:col>7</xdr:col>
      <xdr:colOff>342900</xdr:colOff>
      <xdr:row>43</xdr:row>
      <xdr:rowOff>53340</xdr:rowOff>
    </xdr:to>
    <xdr:sp macro="" textlink="">
      <xdr:nvSpPr>
        <xdr:cNvPr id="7169" name="Text Box 1">
          <a:extLst>
            <a:ext uri="{FF2B5EF4-FFF2-40B4-BE49-F238E27FC236}">
              <a16:creationId xmlns:a16="http://schemas.microsoft.com/office/drawing/2014/main" id="{28BA783D-4F4E-AD2F-733C-D1EBBC17DC30}"/>
            </a:ext>
          </a:extLst>
        </xdr:cNvPr>
        <xdr:cNvSpPr txBox="1">
          <a:spLocks noChangeArrowheads="1"/>
        </xdr:cNvSpPr>
      </xdr:nvSpPr>
      <xdr:spPr bwMode="auto">
        <a:xfrm>
          <a:off x="2000250" y="4341277"/>
          <a:ext cx="3162300" cy="3084413"/>
        </a:xfrm>
        <a:prstGeom prst="roundRect">
          <a:avLst/>
        </a:prstGeom>
        <a:solidFill>
          <a:schemeClr val="bg1"/>
        </a:solidFill>
        <a:ln w="9525">
          <a:noFill/>
          <a:miter lim="800000"/>
          <a:headEnd/>
          <a:tailEnd/>
        </a:ln>
      </xdr:spPr>
      <xdr:txBody>
        <a:bodyPr vertOverflow="clip" wrap="square" lIns="36576" tIns="27432" rIns="0" bIns="0" anchor="t" upright="1"/>
        <a:lstStyle/>
        <a:p>
          <a:pPr algn="l" rtl="0">
            <a:defRPr sz="1000"/>
          </a:pPr>
          <a:r>
            <a:rPr lang="LID4096" sz="1400" b="1" i="0" u="none" strike="noStrike" baseline="0">
              <a:solidFill>
                <a:sysClr val="windowText" lastClr="000000"/>
              </a:solidFill>
              <a:latin typeface="Tw Cen MT"/>
            </a:rPr>
            <a:t>Welcome to the Fitness Dashboard! 😊</a:t>
          </a:r>
        </a:p>
        <a:p>
          <a:pPr algn="l" rtl="0">
            <a:defRPr sz="1000"/>
          </a:pPr>
          <a:r>
            <a:rPr lang="LID4096" sz="1400" b="1" i="0" u="none" strike="noStrike" baseline="0">
              <a:solidFill>
                <a:sysClr val="windowText" lastClr="000000"/>
              </a:solidFill>
              <a:latin typeface="Tw Cen MT"/>
            </a:rPr>
            <a:t>Here are five quick health tips:</a:t>
          </a:r>
          <a:endParaRPr lang="en-US" sz="1400" b="1" i="0" u="none" strike="noStrike" baseline="0">
            <a:solidFill>
              <a:sysClr val="windowText" lastClr="000000"/>
            </a:solidFill>
            <a:latin typeface="Tw Cen MT"/>
          </a:endParaRPr>
        </a:p>
        <a:p>
          <a:pPr algn="l" rtl="0">
            <a:defRPr sz="1000"/>
          </a:pPr>
          <a:endParaRPr lang="LID4096" sz="1400" b="1" i="0" u="none" strike="noStrike" baseline="0">
            <a:solidFill>
              <a:sysClr val="windowText" lastClr="000000"/>
            </a:solidFill>
            <a:latin typeface="Tw Cen MT"/>
          </a:endParaRPr>
        </a:p>
        <a:p>
          <a:pPr algn="l" rtl="0">
            <a:defRPr sz="1000"/>
          </a:pPr>
          <a:r>
            <a:rPr lang="LID4096" sz="1400" b="0" i="0" u="none" strike="noStrike" baseline="0">
              <a:solidFill>
                <a:srgbClr val="2E7D32"/>
              </a:solidFill>
              <a:latin typeface="Tw Cen MT"/>
            </a:rPr>
            <a:t>1. </a:t>
          </a:r>
          <a:r>
            <a:rPr lang="LID4096" sz="1400" b="1" i="0" u="none" strike="noStrike" baseline="0">
              <a:solidFill>
                <a:srgbClr val="2E7D32"/>
              </a:solidFill>
              <a:latin typeface="Tw Cen MT"/>
            </a:rPr>
            <a:t>Stay Hydrated: </a:t>
          </a:r>
          <a:r>
            <a:rPr lang="LID4096" sz="1400" b="0" i="0" u="none" strike="noStrike" baseline="0">
              <a:solidFill>
                <a:sysClr val="windowText" lastClr="000000"/>
              </a:solidFill>
              <a:latin typeface="Tw Cen MT"/>
            </a:rPr>
            <a:t>Drink plenty of water throughout the day.</a:t>
          </a:r>
        </a:p>
        <a:p>
          <a:pPr algn="l" rtl="0">
            <a:defRPr sz="1000"/>
          </a:pPr>
          <a:r>
            <a:rPr lang="LID4096" sz="1400" b="0" i="0" u="none" strike="noStrike" baseline="0">
              <a:solidFill>
                <a:srgbClr val="2E7D32"/>
              </a:solidFill>
              <a:latin typeface="Tw Cen MT"/>
            </a:rPr>
            <a:t>2. </a:t>
          </a:r>
          <a:r>
            <a:rPr lang="LID4096" sz="1400" b="1" i="0" u="none" strike="noStrike" baseline="0">
              <a:solidFill>
                <a:srgbClr val="2E7D32"/>
              </a:solidFill>
              <a:latin typeface="Tw Cen MT"/>
            </a:rPr>
            <a:t>Balanced Diet: </a:t>
          </a:r>
          <a:r>
            <a:rPr lang="LID4096" sz="1400" b="0" i="0" u="none" strike="noStrike" baseline="0">
              <a:solidFill>
                <a:sysClr val="windowText" lastClr="000000"/>
              </a:solidFill>
              <a:latin typeface="Tw Cen MT"/>
            </a:rPr>
            <a:t>Include fruits, veggies, proteins &amp; whole grains.</a:t>
          </a:r>
        </a:p>
        <a:p>
          <a:pPr algn="l" rtl="0">
            <a:defRPr sz="1000"/>
          </a:pPr>
          <a:r>
            <a:rPr lang="LID4096" sz="1400" b="0" i="0" u="none" strike="noStrike" baseline="0">
              <a:solidFill>
                <a:srgbClr val="2E7D32"/>
              </a:solidFill>
              <a:latin typeface="Tw Cen MT"/>
            </a:rPr>
            <a:t>3. </a:t>
          </a:r>
          <a:r>
            <a:rPr lang="LID4096" sz="1400" b="1" i="0" u="none" strike="noStrike" baseline="0">
              <a:solidFill>
                <a:srgbClr val="2E7D32"/>
              </a:solidFill>
              <a:latin typeface="Tw Cen MT"/>
            </a:rPr>
            <a:t>Regular Exercise: </a:t>
          </a:r>
          <a:r>
            <a:rPr lang="LID4096" sz="1400" b="0" i="0" u="none" strike="noStrike" baseline="0">
              <a:solidFill>
                <a:sysClr val="windowText" lastClr="000000"/>
              </a:solidFill>
              <a:latin typeface="Tw Cen MT"/>
            </a:rPr>
            <a:t>At least 30 mins a day.</a:t>
          </a:r>
        </a:p>
        <a:p>
          <a:pPr algn="l" rtl="0">
            <a:defRPr sz="1000"/>
          </a:pPr>
          <a:r>
            <a:rPr lang="LID4096" sz="1400" b="0" i="0" u="none" strike="noStrike" baseline="0">
              <a:solidFill>
                <a:srgbClr val="2E7D32"/>
              </a:solidFill>
              <a:latin typeface="Tw Cen MT"/>
            </a:rPr>
            <a:t>4. </a:t>
          </a:r>
          <a:r>
            <a:rPr lang="LID4096" sz="1400" b="1" i="0" u="none" strike="noStrike" baseline="0">
              <a:solidFill>
                <a:srgbClr val="2E7D32"/>
              </a:solidFill>
              <a:latin typeface="Tw Cen MT"/>
            </a:rPr>
            <a:t>Quality Sleep: </a:t>
          </a:r>
          <a:r>
            <a:rPr lang="LID4096" sz="1400" b="0" i="0" u="none" strike="noStrike" baseline="0">
              <a:solidFill>
                <a:sysClr val="windowText" lastClr="000000"/>
              </a:solidFill>
              <a:latin typeface="Tw Cen MT"/>
            </a:rPr>
            <a:t>7–8 hrs every night.</a:t>
          </a:r>
        </a:p>
        <a:p>
          <a:pPr algn="l" rtl="0">
            <a:defRPr sz="1000"/>
          </a:pPr>
          <a:r>
            <a:rPr lang="LID4096" sz="1400" b="0" i="0" u="none" strike="noStrike" baseline="0">
              <a:solidFill>
                <a:srgbClr val="2E7D32"/>
              </a:solidFill>
              <a:latin typeface="Tw Cen MT"/>
            </a:rPr>
            <a:t>5. </a:t>
          </a:r>
          <a:r>
            <a:rPr lang="LID4096" sz="1400" b="1" i="0" u="none" strike="noStrike" baseline="0">
              <a:solidFill>
                <a:srgbClr val="2E7D32"/>
              </a:solidFill>
              <a:latin typeface="Tw Cen MT"/>
            </a:rPr>
            <a:t>Stress Management: </a:t>
          </a:r>
          <a:r>
            <a:rPr lang="LID4096" sz="1400" b="0" i="0" u="none" strike="noStrike" baseline="0">
              <a:solidFill>
                <a:sysClr val="windowText" lastClr="000000"/>
              </a:solidFill>
              <a:latin typeface="Tw Cen MT"/>
            </a:rPr>
            <a:t>Practice mindfulness or deep breathing.</a:t>
          </a:r>
        </a:p>
      </xdr:txBody>
    </xdr:sp>
    <xdr:clientData/>
  </xdr:twoCellAnchor>
  <xdr:twoCellAnchor>
    <xdr:from>
      <xdr:col>6</xdr:col>
      <xdr:colOff>83819</xdr:colOff>
      <xdr:row>0</xdr:row>
      <xdr:rowOff>76200</xdr:rowOff>
    </xdr:from>
    <xdr:to>
      <xdr:col>14</xdr:col>
      <xdr:colOff>388619</xdr:colOff>
      <xdr:row>3</xdr:row>
      <xdr:rowOff>1905</xdr:rowOff>
    </xdr:to>
    <xdr:sp macro="" textlink="">
      <xdr:nvSpPr>
        <xdr:cNvPr id="13" name="Rectangle 12">
          <a:extLst>
            <a:ext uri="{FF2B5EF4-FFF2-40B4-BE49-F238E27FC236}">
              <a16:creationId xmlns:a16="http://schemas.microsoft.com/office/drawing/2014/main" id="{AB9072B8-3C8A-4FB2-A6BA-377E1E3D878E}"/>
            </a:ext>
          </a:extLst>
        </xdr:cNvPr>
        <xdr:cNvSpPr/>
      </xdr:nvSpPr>
      <xdr:spPr>
        <a:xfrm>
          <a:off x="4236719" y="76200"/>
          <a:ext cx="5638800" cy="44005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2400" b="1" i="0">
              <a:solidFill>
                <a:sysClr val="windowText" lastClr="000000"/>
              </a:solidFill>
              <a:effectLst/>
              <a:latin typeface="+mn-lt"/>
              <a:ea typeface="+mn-ea"/>
              <a:cs typeface="+mn-cs"/>
            </a:rPr>
            <a:t>“How did I do today?”</a:t>
          </a:r>
          <a:endParaRPr lang="LID4096" sz="4800">
            <a:solidFill>
              <a:sysClr val="windowText" lastClr="000000"/>
            </a:solidFill>
            <a:latin typeface="Amasis MT Pro Black" panose="02040A04050005020304" pitchFamily="18" charset="0"/>
          </a:endParaRPr>
        </a:p>
      </xdr:txBody>
    </xdr:sp>
    <xdr:clientData/>
  </xdr:twoCellAnchor>
  <xdr:twoCellAnchor>
    <xdr:from>
      <xdr:col>7</xdr:col>
      <xdr:colOff>359970</xdr:colOff>
      <xdr:row>3</xdr:row>
      <xdr:rowOff>2101</xdr:rowOff>
    </xdr:from>
    <xdr:to>
      <xdr:col>24</xdr:col>
      <xdr:colOff>386715</xdr:colOff>
      <xdr:row>11</xdr:row>
      <xdr:rowOff>19049</xdr:rowOff>
    </xdr:to>
    <xdr:grpSp>
      <xdr:nvGrpSpPr>
        <xdr:cNvPr id="48" name="Group 47">
          <a:extLst>
            <a:ext uri="{FF2B5EF4-FFF2-40B4-BE49-F238E27FC236}">
              <a16:creationId xmlns:a16="http://schemas.microsoft.com/office/drawing/2014/main" id="{5C242D9C-74B2-F6C9-42AC-FB8E584911B9}"/>
            </a:ext>
          </a:extLst>
        </xdr:cNvPr>
        <xdr:cNvGrpSpPr/>
      </xdr:nvGrpSpPr>
      <xdr:grpSpPr>
        <a:xfrm>
          <a:off x="5183430" y="516451"/>
          <a:ext cx="11359590" cy="1392358"/>
          <a:chOff x="5979720" y="515822"/>
          <a:chExt cx="11361495" cy="1385368"/>
        </a:xfrm>
        <a:effectLst>
          <a:outerShdw blurRad="50800" dist="38100" dir="18900000" algn="bl" rotWithShape="0">
            <a:prstClr val="black">
              <a:alpha val="40000"/>
            </a:prstClr>
          </a:outerShdw>
        </a:effectLst>
      </xdr:grpSpPr>
      <xdr:sp macro="" textlink="Helper!$B$2">
        <xdr:nvSpPr>
          <xdr:cNvPr id="7" name="Rectangle: Rounded Corners 6">
            <a:extLst>
              <a:ext uri="{FF2B5EF4-FFF2-40B4-BE49-F238E27FC236}">
                <a16:creationId xmlns:a16="http://schemas.microsoft.com/office/drawing/2014/main" id="{4653779F-538D-8414-41FC-E9E8E38E0C96}"/>
              </a:ext>
            </a:extLst>
          </xdr:cNvPr>
          <xdr:cNvSpPr/>
        </xdr:nvSpPr>
        <xdr:spPr>
          <a:xfrm>
            <a:off x="6113145" y="670952"/>
            <a:ext cx="1598295" cy="1198245"/>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099596A9-3986-46F2-8DAF-EA63EF16D7CE}" type="TxLink">
              <a:rPr lang="en-US" sz="1600" b="1" i="0" u="none" strike="noStrike">
                <a:solidFill>
                  <a:srgbClr val="2E7D32"/>
                </a:solidFill>
                <a:latin typeface="+mn-lt"/>
                <a:ea typeface="+mn-ea"/>
                <a:cs typeface="+mn-cs"/>
              </a:rPr>
              <a:pPr marL="0" indent="0" algn="ctr"/>
              <a:t>Calories Burned (kcals) 213.15</a:t>
            </a:fld>
            <a:endParaRPr lang="LID4096" sz="3200" b="1" i="0" u="none" strike="noStrike">
              <a:solidFill>
                <a:srgbClr val="2E7D32"/>
              </a:solidFill>
              <a:latin typeface="+mn-lt"/>
              <a:ea typeface="+mn-ea"/>
              <a:cs typeface="+mn-cs"/>
            </a:endParaRPr>
          </a:p>
        </xdr:txBody>
      </xdr:sp>
      <xdr:sp macro="" textlink="Helper!$B$3">
        <xdr:nvSpPr>
          <xdr:cNvPr id="8" name="Rectangle: Rounded Corners 7">
            <a:extLst>
              <a:ext uri="{FF2B5EF4-FFF2-40B4-BE49-F238E27FC236}">
                <a16:creationId xmlns:a16="http://schemas.microsoft.com/office/drawing/2014/main" id="{53B2C5F3-AA76-4FDF-BEE9-3DFC1E8A349B}"/>
              </a:ext>
            </a:extLst>
          </xdr:cNvPr>
          <xdr:cNvSpPr/>
        </xdr:nvSpPr>
        <xdr:spPr>
          <a:xfrm>
            <a:off x="8030210" y="702945"/>
            <a:ext cx="1609725" cy="1198245"/>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7F42E81D-7058-4BE8-BBDD-D8683D03765E}" type="TxLink">
              <a:rPr lang="en-US" sz="1600" b="1" i="0" u="none" strike="noStrike">
                <a:solidFill>
                  <a:srgbClr val="2E7D32"/>
                </a:solidFill>
                <a:latin typeface="+mn-lt"/>
                <a:ea typeface="+mn-ea"/>
                <a:cs typeface="+mn-cs"/>
              </a:rPr>
              <a:pPr marL="0" indent="0" algn="ctr"/>
              <a:t>Workout Duration (mins) 60</a:t>
            </a:fld>
            <a:endParaRPr lang="LID4096" sz="3200" b="1" i="0" u="none" strike="noStrike">
              <a:solidFill>
                <a:srgbClr val="2E7D32"/>
              </a:solidFill>
              <a:latin typeface="+mn-lt"/>
              <a:ea typeface="+mn-ea"/>
              <a:cs typeface="+mn-cs"/>
            </a:endParaRPr>
          </a:p>
        </xdr:txBody>
      </xdr:sp>
      <xdr:sp macro="" textlink="Helper!$B$4">
        <xdr:nvSpPr>
          <xdr:cNvPr id="9" name="Rectangle: Rounded Corners 8">
            <a:extLst>
              <a:ext uri="{FF2B5EF4-FFF2-40B4-BE49-F238E27FC236}">
                <a16:creationId xmlns:a16="http://schemas.microsoft.com/office/drawing/2014/main" id="{C7FB31B6-0518-4DCC-B8B8-4857433FF03E}"/>
              </a:ext>
            </a:extLst>
          </xdr:cNvPr>
          <xdr:cNvSpPr/>
        </xdr:nvSpPr>
        <xdr:spPr>
          <a:xfrm>
            <a:off x="10008235" y="702945"/>
            <a:ext cx="1546860" cy="1198245"/>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8A9AFC2E-C88F-4253-8331-67E3D9450C75}" type="TxLink">
              <a:rPr lang="en-US" sz="1600" b="1" i="0" u="none" strike="noStrike">
                <a:solidFill>
                  <a:srgbClr val="2E7D32"/>
                </a:solidFill>
                <a:latin typeface="+mn-lt"/>
                <a:ea typeface="+mn-ea"/>
                <a:cs typeface="+mn-cs"/>
              </a:rPr>
              <a:pPr marL="0" indent="0" algn="ctr"/>
              <a:t>Calories Consumed (kcals) 1231.5</a:t>
            </a:fld>
            <a:endParaRPr lang="LID4096" sz="3200" b="1" i="0" u="none" strike="noStrike">
              <a:solidFill>
                <a:srgbClr val="2E7D32"/>
              </a:solidFill>
              <a:latin typeface="+mn-lt"/>
              <a:ea typeface="+mn-ea"/>
              <a:cs typeface="+mn-cs"/>
            </a:endParaRPr>
          </a:p>
        </xdr:txBody>
      </xdr:sp>
      <xdr:sp macro="" textlink="Helper!$B$5">
        <xdr:nvSpPr>
          <xdr:cNvPr id="10" name="Rectangle: Rounded Corners 9">
            <a:extLst>
              <a:ext uri="{FF2B5EF4-FFF2-40B4-BE49-F238E27FC236}">
                <a16:creationId xmlns:a16="http://schemas.microsoft.com/office/drawing/2014/main" id="{468B9337-885E-438B-B751-01AAC6BC72D6}"/>
              </a:ext>
            </a:extLst>
          </xdr:cNvPr>
          <xdr:cNvSpPr/>
        </xdr:nvSpPr>
        <xdr:spPr>
          <a:xfrm>
            <a:off x="11927205" y="702945"/>
            <a:ext cx="1520190" cy="1198245"/>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47168D42-AD34-4BA1-9A2F-09CD63F5E84B}" type="TxLink">
              <a:rPr lang="en-US" sz="1600" b="1" i="0" u="none" strike="noStrike">
                <a:solidFill>
                  <a:srgbClr val="2E7D32"/>
                </a:solidFill>
                <a:latin typeface="+mn-lt"/>
                <a:ea typeface="+mn-ea"/>
                <a:cs typeface="+mn-cs"/>
              </a:rPr>
              <a:pPr marL="0" indent="0" algn="ctr"/>
              <a:t>Current Weight 58</a:t>
            </a:fld>
            <a:endParaRPr lang="LID4096" sz="3200" b="1" i="0" u="none" strike="noStrike">
              <a:solidFill>
                <a:srgbClr val="2E7D32"/>
              </a:solidFill>
              <a:latin typeface="+mn-lt"/>
              <a:ea typeface="+mn-ea"/>
              <a:cs typeface="+mn-cs"/>
            </a:endParaRPr>
          </a:p>
        </xdr:txBody>
      </xdr:sp>
      <xdr:sp macro="" textlink="Helper!$B$6">
        <xdr:nvSpPr>
          <xdr:cNvPr id="11" name="Rectangle: Rounded Corners 10">
            <a:extLst>
              <a:ext uri="{FF2B5EF4-FFF2-40B4-BE49-F238E27FC236}">
                <a16:creationId xmlns:a16="http://schemas.microsoft.com/office/drawing/2014/main" id="{9E8ACDB3-84E2-4F94-A286-5A147D091D1C}"/>
              </a:ext>
            </a:extLst>
          </xdr:cNvPr>
          <xdr:cNvSpPr/>
        </xdr:nvSpPr>
        <xdr:spPr>
          <a:xfrm>
            <a:off x="13839825" y="702945"/>
            <a:ext cx="1524000" cy="1198245"/>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267E7309-0914-44C2-8651-DCE41FE2766C}" type="TxLink">
              <a:rPr lang="en-US" sz="1600" b="1" i="0" u="none" strike="noStrike">
                <a:solidFill>
                  <a:srgbClr val="2E7D32"/>
                </a:solidFill>
                <a:latin typeface="+mn-lt"/>
                <a:ea typeface="+mn-ea"/>
                <a:cs typeface="+mn-cs"/>
              </a:rPr>
              <a:pPr marL="0" indent="0" algn="ctr"/>
              <a:t>Sleep (hours) 8</a:t>
            </a:fld>
            <a:endParaRPr lang="LID4096" sz="3200" b="1" i="0" u="none" strike="noStrike">
              <a:solidFill>
                <a:srgbClr val="2E7D32"/>
              </a:solidFill>
              <a:latin typeface="+mn-lt"/>
              <a:ea typeface="+mn-ea"/>
              <a:cs typeface="+mn-cs"/>
            </a:endParaRPr>
          </a:p>
        </xdr:txBody>
      </xdr:sp>
      <xdr:sp macro="" textlink="Helper!$B$7">
        <xdr:nvSpPr>
          <xdr:cNvPr id="12" name="Rectangle: Rounded Corners 11">
            <a:extLst>
              <a:ext uri="{FF2B5EF4-FFF2-40B4-BE49-F238E27FC236}">
                <a16:creationId xmlns:a16="http://schemas.microsoft.com/office/drawing/2014/main" id="{EFB7C673-8A68-410F-910F-67578D21F3F1}"/>
              </a:ext>
            </a:extLst>
          </xdr:cNvPr>
          <xdr:cNvSpPr/>
        </xdr:nvSpPr>
        <xdr:spPr>
          <a:xfrm>
            <a:off x="15817215" y="702945"/>
            <a:ext cx="1524000" cy="1198245"/>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C8F9A30-D034-4BE2-8460-230CCA7655B5}" type="TxLink">
              <a:rPr lang="en-US" sz="1600" b="1" i="0" u="none" strike="noStrike">
                <a:solidFill>
                  <a:srgbClr val="2E7D32"/>
                </a:solidFill>
                <a:latin typeface="+mn-lt"/>
                <a:ea typeface="+mn-ea"/>
                <a:cs typeface="+mn-cs"/>
              </a:rPr>
              <a:pPr marL="0" indent="0" algn="ctr"/>
              <a:t>Water Intake (ml)2500</a:t>
            </a:fld>
            <a:endParaRPr lang="LID4096" sz="3200" b="1" i="0" u="none" strike="noStrike">
              <a:solidFill>
                <a:srgbClr val="2E7D32"/>
              </a:solidFill>
              <a:latin typeface="+mn-lt"/>
              <a:ea typeface="+mn-ea"/>
              <a:cs typeface="+mn-cs"/>
            </a:endParaRPr>
          </a:p>
        </xdr:txBody>
      </xdr:sp>
      <xdr:pic>
        <xdr:nvPicPr>
          <xdr:cNvPr id="34" name="Picture 33">
            <a:extLst>
              <a:ext uri="{FF2B5EF4-FFF2-40B4-BE49-F238E27FC236}">
                <a16:creationId xmlns:a16="http://schemas.microsoft.com/office/drawing/2014/main" id="{F1AEF2BB-EA5C-5A0F-4E0C-0AF1FEA7B0D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rot="20125856">
            <a:off x="11821814" y="588997"/>
            <a:ext cx="408637" cy="406125"/>
          </a:xfrm>
          <a:prstGeom prst="rect">
            <a:avLst/>
          </a:prstGeom>
        </xdr:spPr>
      </xdr:pic>
      <xdr:pic>
        <xdr:nvPicPr>
          <xdr:cNvPr id="36" name="Picture 35">
            <a:extLst>
              <a:ext uri="{FF2B5EF4-FFF2-40B4-BE49-F238E27FC236}">
                <a16:creationId xmlns:a16="http://schemas.microsoft.com/office/drawing/2014/main" id="{64C70050-084A-987D-0699-E9FE73F1021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rot="20637880">
            <a:off x="15727185" y="532904"/>
            <a:ext cx="380923" cy="463815"/>
          </a:xfrm>
          <a:prstGeom prst="rect">
            <a:avLst/>
          </a:prstGeom>
        </xdr:spPr>
      </xdr:pic>
      <xdr:pic>
        <xdr:nvPicPr>
          <xdr:cNvPr id="38" name="Picture 37">
            <a:extLst>
              <a:ext uri="{FF2B5EF4-FFF2-40B4-BE49-F238E27FC236}">
                <a16:creationId xmlns:a16="http://schemas.microsoft.com/office/drawing/2014/main" id="{DA644A59-65FC-8701-85EC-C9891307399F}"/>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9987944" y="515822"/>
            <a:ext cx="422938" cy="419417"/>
          </a:xfrm>
          <a:prstGeom prst="rect">
            <a:avLst/>
          </a:prstGeom>
        </xdr:spPr>
      </xdr:pic>
      <xdr:pic>
        <xdr:nvPicPr>
          <xdr:cNvPr id="40" name="Picture 39">
            <a:extLst>
              <a:ext uri="{FF2B5EF4-FFF2-40B4-BE49-F238E27FC236}">
                <a16:creationId xmlns:a16="http://schemas.microsoft.com/office/drawing/2014/main" id="{C151DAF9-0E54-81B2-A34B-E1F318B39FDA}"/>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rot="20176206">
            <a:off x="13716420" y="548992"/>
            <a:ext cx="393339" cy="420585"/>
          </a:xfrm>
          <a:prstGeom prst="rect">
            <a:avLst/>
          </a:prstGeom>
        </xdr:spPr>
      </xdr:pic>
      <xdr:pic>
        <xdr:nvPicPr>
          <xdr:cNvPr id="42" name="Picture 41">
            <a:extLst>
              <a:ext uri="{FF2B5EF4-FFF2-40B4-BE49-F238E27FC236}">
                <a16:creationId xmlns:a16="http://schemas.microsoft.com/office/drawing/2014/main" id="{B8D401C9-5875-4359-2E2F-7B8A7B072368}"/>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rot="20456070">
            <a:off x="5979720" y="545255"/>
            <a:ext cx="445845" cy="423814"/>
          </a:xfrm>
          <a:prstGeom prst="rect">
            <a:avLst/>
          </a:prstGeom>
        </xdr:spPr>
      </xdr:pic>
      <xdr:pic>
        <xdr:nvPicPr>
          <xdr:cNvPr id="44" name="Picture 43">
            <a:extLst>
              <a:ext uri="{FF2B5EF4-FFF2-40B4-BE49-F238E27FC236}">
                <a16:creationId xmlns:a16="http://schemas.microsoft.com/office/drawing/2014/main" id="{AE90E856-BD05-E0FB-687C-023891CB6C89}"/>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901761" y="566317"/>
            <a:ext cx="459675" cy="431851"/>
          </a:xfrm>
          <a:prstGeom prst="rect">
            <a:avLst/>
          </a:prstGeom>
        </xdr:spPr>
      </xdr:pic>
    </xdr:grpSp>
    <xdr:clientData/>
  </xdr:twoCellAnchor>
  <xdr:twoCellAnchor>
    <xdr:from>
      <xdr:col>14</xdr:col>
      <xdr:colOff>401956</xdr:colOff>
      <xdr:row>12</xdr:row>
      <xdr:rowOff>76200</xdr:rowOff>
    </xdr:from>
    <xdr:to>
      <xdr:col>24</xdr:col>
      <xdr:colOff>293371</xdr:colOff>
      <xdr:row>28</xdr:row>
      <xdr:rowOff>38099</xdr:rowOff>
    </xdr:to>
    <xdr:graphicFrame macro="">
      <xdr:nvGraphicFramePr>
        <xdr:cNvPr id="45" name="Chart 44">
          <a:extLst>
            <a:ext uri="{FF2B5EF4-FFF2-40B4-BE49-F238E27FC236}">
              <a16:creationId xmlns:a16="http://schemas.microsoft.com/office/drawing/2014/main" id="{447236DF-5100-4402-87B5-B176C29305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772280</xdr:colOff>
      <xdr:row>0</xdr:row>
      <xdr:rowOff>86572</xdr:rowOff>
    </xdr:from>
    <xdr:to>
      <xdr:col>6</xdr:col>
      <xdr:colOff>393185</xdr:colOff>
      <xdr:row>24</xdr:row>
      <xdr:rowOff>2752</xdr:rowOff>
    </xdr:to>
    <xdr:grpSp>
      <xdr:nvGrpSpPr>
        <xdr:cNvPr id="20" name="Group 19">
          <a:extLst>
            <a:ext uri="{FF2B5EF4-FFF2-40B4-BE49-F238E27FC236}">
              <a16:creationId xmlns:a16="http://schemas.microsoft.com/office/drawing/2014/main" id="{1BDF510E-5953-8B4C-DB10-2BB8B728C90F}"/>
            </a:ext>
          </a:extLst>
        </xdr:cNvPr>
        <xdr:cNvGrpSpPr/>
      </xdr:nvGrpSpPr>
      <xdr:grpSpPr>
        <a:xfrm>
          <a:off x="2107685" y="88477"/>
          <a:ext cx="2442210" cy="4029075"/>
          <a:chOff x="2019300" y="201929"/>
          <a:chExt cx="3627120" cy="3478531"/>
        </a:xfrm>
        <a:solidFill>
          <a:schemeClr val="bg1"/>
        </a:solidFill>
      </xdr:grpSpPr>
      <xdr:sp macro="" textlink="">
        <xdr:nvSpPr>
          <xdr:cNvPr id="2" name="Rectangle: Rounded Corners 1">
            <a:extLst>
              <a:ext uri="{FF2B5EF4-FFF2-40B4-BE49-F238E27FC236}">
                <a16:creationId xmlns:a16="http://schemas.microsoft.com/office/drawing/2014/main" id="{6DA647A8-1925-42C8-C2EC-1FF6BCA55643}"/>
              </a:ext>
            </a:extLst>
          </xdr:cNvPr>
          <xdr:cNvSpPr/>
        </xdr:nvSpPr>
        <xdr:spPr>
          <a:xfrm>
            <a:off x="2019300" y="201929"/>
            <a:ext cx="3627120" cy="3478531"/>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2E7D32"/>
              </a:solidFill>
            </a:endParaRPr>
          </a:p>
          <a:p>
            <a:pPr algn="l"/>
            <a:endParaRPr lang="en-US" sz="1100">
              <a:solidFill>
                <a:srgbClr val="2E7D32"/>
              </a:solidFill>
            </a:endParaRPr>
          </a:p>
          <a:p>
            <a:pPr algn="l"/>
            <a:endParaRPr lang="en-US" sz="1100">
              <a:solidFill>
                <a:srgbClr val="2E7D32"/>
              </a:solidFill>
            </a:endParaRPr>
          </a:p>
          <a:p>
            <a:pPr algn="l"/>
            <a:endParaRPr lang="en-US" sz="1100">
              <a:solidFill>
                <a:srgbClr val="2E7D32"/>
              </a:solidFill>
            </a:endParaRPr>
          </a:p>
          <a:p>
            <a:pPr algn="l"/>
            <a:endParaRPr lang="en-US" sz="1100">
              <a:solidFill>
                <a:srgbClr val="2E7D32"/>
              </a:solidFill>
            </a:endParaRPr>
          </a:p>
          <a:p>
            <a:pPr algn="l"/>
            <a:endParaRPr lang="en-US" sz="1100">
              <a:solidFill>
                <a:srgbClr val="2E7D32"/>
              </a:solidFill>
            </a:endParaRPr>
          </a:p>
          <a:p>
            <a:pPr algn="l"/>
            <a:endParaRPr lang="en-US" sz="1100">
              <a:solidFill>
                <a:srgbClr val="2E7D32"/>
              </a:solidFill>
            </a:endParaRPr>
          </a:p>
          <a:p>
            <a:pPr algn="l"/>
            <a:endParaRPr lang="en-US" sz="1100">
              <a:solidFill>
                <a:srgbClr val="2E7D32"/>
              </a:solidFill>
            </a:endParaRPr>
          </a:p>
          <a:p>
            <a:pPr algn="l"/>
            <a:endParaRPr lang="en-US" sz="1100">
              <a:solidFill>
                <a:srgbClr val="2E7D32"/>
              </a:solidFill>
            </a:endParaRPr>
          </a:p>
          <a:p>
            <a:pPr algn="l"/>
            <a:endParaRPr lang="en-US" sz="1100">
              <a:solidFill>
                <a:srgbClr val="2E7D32"/>
              </a:solidFill>
            </a:endParaRPr>
          </a:p>
          <a:p>
            <a:pPr algn="l"/>
            <a:endParaRPr lang="en-US" sz="1100">
              <a:solidFill>
                <a:srgbClr val="2E7D32"/>
              </a:solidFill>
            </a:endParaRPr>
          </a:p>
          <a:p>
            <a:pPr algn="l"/>
            <a:endParaRPr lang="en-US" sz="1100" b="1">
              <a:solidFill>
                <a:srgbClr val="2E7D32"/>
              </a:solidFill>
            </a:endParaRPr>
          </a:p>
          <a:p>
            <a:pPr algn="l"/>
            <a:endParaRPr lang="en-US" sz="1200" b="1">
              <a:solidFill>
                <a:srgbClr val="2E7D32"/>
              </a:solidFill>
            </a:endParaRPr>
          </a:p>
          <a:p>
            <a:pPr algn="l"/>
            <a:endParaRPr lang="en-US" sz="1200" b="1">
              <a:solidFill>
                <a:srgbClr val="2E7D32"/>
              </a:solidFill>
            </a:endParaRPr>
          </a:p>
        </xdr:txBody>
      </xdr:sp>
      <xdr:grpSp>
        <xdr:nvGrpSpPr>
          <xdr:cNvPr id="19" name="Group 18">
            <a:extLst>
              <a:ext uri="{FF2B5EF4-FFF2-40B4-BE49-F238E27FC236}">
                <a16:creationId xmlns:a16="http://schemas.microsoft.com/office/drawing/2014/main" id="{286B0E98-31BF-A734-D911-381A3A6827E7}"/>
              </a:ext>
            </a:extLst>
          </xdr:cNvPr>
          <xdr:cNvGrpSpPr/>
        </xdr:nvGrpSpPr>
        <xdr:grpSpPr>
          <a:xfrm>
            <a:off x="2202181" y="2156460"/>
            <a:ext cx="3230879" cy="1359440"/>
            <a:chOff x="2202181" y="2194560"/>
            <a:chExt cx="2849879" cy="1359440"/>
          </a:xfrm>
          <a:grpFill/>
        </xdr:grpSpPr>
        <xdr:sp macro="" textlink="">
          <xdr:nvSpPr>
            <xdr:cNvPr id="5" name="Rectangle 4">
              <a:extLst>
                <a:ext uri="{FF2B5EF4-FFF2-40B4-BE49-F238E27FC236}">
                  <a16:creationId xmlns:a16="http://schemas.microsoft.com/office/drawing/2014/main" id="{94594B45-86AC-4B84-8679-E60A9619885F}"/>
                </a:ext>
              </a:extLst>
            </xdr:cNvPr>
            <xdr:cNvSpPr/>
          </xdr:nvSpPr>
          <xdr:spPr>
            <a:xfrm>
              <a:off x="2202181" y="2644139"/>
              <a:ext cx="2849879" cy="46028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US" sz="1400" b="1">
                  <a:solidFill>
                    <a:sysClr val="windowText" lastClr="000000"/>
                  </a:solidFill>
                  <a:effectLst/>
                  <a:latin typeface="+mn-lt"/>
                  <a:ea typeface="+mn-ea"/>
                  <a:cs typeface="+mn-cs"/>
                </a:rPr>
                <a:t>Start Date: 8/19/2025</a:t>
              </a:r>
              <a:endParaRPr lang="en-BI" sz="1600">
                <a:solidFill>
                  <a:sysClr val="windowText" lastClr="000000"/>
                </a:solidFill>
                <a:effectLst/>
              </a:endParaRPr>
            </a:p>
          </xdr:txBody>
        </xdr:sp>
        <xdr:sp macro="" textlink="">
          <xdr:nvSpPr>
            <xdr:cNvPr id="15" name="Rectangle 14">
              <a:extLst>
                <a:ext uri="{FF2B5EF4-FFF2-40B4-BE49-F238E27FC236}">
                  <a16:creationId xmlns:a16="http://schemas.microsoft.com/office/drawing/2014/main" id="{F0FA7A2A-A9F6-410A-89CE-8CB985DB00E9}"/>
                </a:ext>
              </a:extLst>
            </xdr:cNvPr>
            <xdr:cNvSpPr/>
          </xdr:nvSpPr>
          <xdr:spPr>
            <a:xfrm>
              <a:off x="2202181" y="3093719"/>
              <a:ext cx="2849879" cy="46028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US" sz="1400" b="1">
                  <a:solidFill>
                    <a:sysClr val="windowText" lastClr="000000"/>
                  </a:solidFill>
                  <a:effectLst/>
                  <a:latin typeface="+mn-lt"/>
                  <a:ea typeface="+mn-ea"/>
                  <a:cs typeface="+mn-cs"/>
                </a:rPr>
                <a:t>Fitness Goal: Loose Weight and get in shape again</a:t>
              </a:r>
              <a:endParaRPr lang="en-BI" sz="3200">
                <a:solidFill>
                  <a:sysClr val="windowText" lastClr="000000"/>
                </a:solidFill>
                <a:effectLst/>
              </a:endParaRPr>
            </a:p>
          </xdr:txBody>
        </xdr:sp>
        <xdr:sp macro="" textlink="">
          <xdr:nvSpPr>
            <xdr:cNvPr id="18" name="Rectangle 17">
              <a:extLst>
                <a:ext uri="{FF2B5EF4-FFF2-40B4-BE49-F238E27FC236}">
                  <a16:creationId xmlns:a16="http://schemas.microsoft.com/office/drawing/2014/main" id="{E29EAC36-DC8F-4F6D-9476-E45592428B3F}"/>
                </a:ext>
              </a:extLst>
            </xdr:cNvPr>
            <xdr:cNvSpPr/>
          </xdr:nvSpPr>
          <xdr:spPr>
            <a:xfrm>
              <a:off x="2202181" y="2194560"/>
              <a:ext cx="2476500" cy="46028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US" sz="1400" b="1">
                  <a:solidFill>
                    <a:sysClr val="windowText" lastClr="000000"/>
                  </a:solidFill>
                  <a:effectLst/>
                  <a:latin typeface="+mn-lt"/>
                  <a:ea typeface="+mn-ea"/>
                  <a:cs typeface="+mn-cs"/>
                </a:rPr>
                <a:t>Name: Sophia</a:t>
              </a:r>
              <a:endParaRPr lang="en-BI" sz="1600">
                <a:solidFill>
                  <a:sysClr val="windowText" lastClr="000000"/>
                </a:solidFill>
                <a:effectLst/>
              </a:endParaRPr>
            </a:p>
          </xdr:txBody>
        </xdr:sp>
      </xdr:grpSp>
      <xdr:sp macro="" textlink="">
        <xdr:nvSpPr>
          <xdr:cNvPr id="4" name="Oval 3">
            <a:extLst>
              <a:ext uri="{FF2B5EF4-FFF2-40B4-BE49-F238E27FC236}">
                <a16:creationId xmlns:a16="http://schemas.microsoft.com/office/drawing/2014/main" id="{D088861E-81F1-8CDC-0CC5-7E7AF677F0B0}"/>
              </a:ext>
            </a:extLst>
          </xdr:cNvPr>
          <xdr:cNvSpPr/>
        </xdr:nvSpPr>
        <xdr:spPr>
          <a:xfrm>
            <a:off x="2290927" y="359767"/>
            <a:ext cx="3317113" cy="1707504"/>
          </a:xfrm>
          <a:prstGeom prst="ellipse">
            <a:avLst/>
          </a:prstGeom>
          <a:blipFill dpi="0" rotWithShape="1">
            <a:blip xmlns:r="http://schemas.openxmlformats.org/officeDocument/2006/relationships" r:embed="rId9" cstate="print">
              <a:extLst>
                <a:ext uri="{28A0092B-C50C-407E-A947-70E740481C1C}">
                  <a14:useLocalDpi xmlns:a14="http://schemas.microsoft.com/office/drawing/2010/main" val="0"/>
                </a:ext>
              </a:extLst>
            </a:blip>
            <a:srcRect/>
            <a:stretch>
              <a:fillRect/>
            </a:stretch>
          </a:bli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grpSp>
    <xdr:clientData/>
  </xdr:twoCellAnchor>
  <xdr:twoCellAnchor>
    <xdr:from>
      <xdr:col>7</xdr:col>
      <xdr:colOff>476674</xdr:colOff>
      <xdr:row>29</xdr:row>
      <xdr:rowOff>82973</xdr:rowOff>
    </xdr:from>
    <xdr:to>
      <xdr:col>14</xdr:col>
      <xdr:colOff>286174</xdr:colOff>
      <xdr:row>43</xdr:row>
      <xdr:rowOff>124460</xdr:rowOff>
    </xdr:to>
    <xdr:sp macro="" textlink="">
      <xdr:nvSpPr>
        <xdr:cNvPr id="35" name="Rectangle: Rounded Corners 34">
          <a:extLst>
            <a:ext uri="{FF2B5EF4-FFF2-40B4-BE49-F238E27FC236}">
              <a16:creationId xmlns:a16="http://schemas.microsoft.com/office/drawing/2014/main" id="{9F23F0ED-10A9-4797-4127-1E8F7836813D}"/>
            </a:ext>
          </a:extLst>
        </xdr:cNvPr>
        <xdr:cNvSpPr/>
      </xdr:nvSpPr>
      <xdr:spPr>
        <a:xfrm>
          <a:off x="5296324" y="5055023"/>
          <a:ext cx="4476750" cy="2441787"/>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7</xdr:col>
      <xdr:colOff>398992</xdr:colOff>
      <xdr:row>29</xdr:row>
      <xdr:rowOff>91440</xdr:rowOff>
    </xdr:from>
    <xdr:to>
      <xdr:col>14</xdr:col>
      <xdr:colOff>245746</xdr:colOff>
      <xdr:row>43</xdr:row>
      <xdr:rowOff>133350</xdr:rowOff>
    </xdr:to>
    <xdr:graphicFrame macro="">
      <xdr:nvGraphicFramePr>
        <xdr:cNvPr id="22" name="Chart 21">
          <a:extLst>
            <a:ext uri="{FF2B5EF4-FFF2-40B4-BE49-F238E27FC236}">
              <a16:creationId xmlns:a16="http://schemas.microsoft.com/office/drawing/2014/main" id="{198E583D-5600-4D35-A641-FCAA18972B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24</xdr:col>
      <xdr:colOff>360893</xdr:colOff>
      <xdr:row>23</xdr:row>
      <xdr:rowOff>134620</xdr:rowOff>
    </xdr:from>
    <xdr:to>
      <xdr:col>26</xdr:col>
      <xdr:colOff>133351</xdr:colOff>
      <xdr:row>29</xdr:row>
      <xdr:rowOff>0</xdr:rowOff>
    </xdr:to>
    <mc:AlternateContent xmlns:mc="http://schemas.openxmlformats.org/markup-compatibility/2006">
      <mc:Choice xmlns:a14="http://schemas.microsoft.com/office/drawing/2010/main" Requires="a14">
        <xdr:graphicFrame macro="">
          <xdr:nvGraphicFramePr>
            <xdr:cNvPr id="43" name="Week">
              <a:extLst>
                <a:ext uri="{FF2B5EF4-FFF2-40B4-BE49-F238E27FC236}">
                  <a16:creationId xmlns:a16="http://schemas.microsoft.com/office/drawing/2014/main" id="{28946CF7-674B-7B21-72D8-DB8B04846FFA}"/>
                </a:ext>
              </a:extLst>
            </xdr:cNvPr>
            <xdr:cNvGraphicFramePr/>
          </xdr:nvGraphicFramePr>
          <xdr:xfrm>
            <a:off x="0" y="0"/>
            <a:ext cx="0" cy="0"/>
          </xdr:xfrm>
          <a:graphic>
            <a:graphicData uri="http://schemas.microsoft.com/office/drawing/2010/slicer">
              <sle:slicer xmlns:sle="http://schemas.microsoft.com/office/drawing/2010/slicer" name="Week"/>
            </a:graphicData>
          </a:graphic>
        </xdr:graphicFrame>
      </mc:Choice>
      <mc:Fallback>
        <xdr:sp macro="" textlink="">
          <xdr:nvSpPr>
            <xdr:cNvPr id="0" name=""/>
            <xdr:cNvSpPr>
              <a:spLocks noTextEdit="1"/>
            </xdr:cNvSpPr>
          </xdr:nvSpPr>
          <xdr:spPr>
            <a:xfrm>
              <a:off x="16519103" y="4074160"/>
              <a:ext cx="1098338" cy="897890"/>
            </a:xfrm>
            <a:prstGeom prst="rect">
              <a:avLst/>
            </a:prstGeom>
            <a:solidFill>
              <a:prstClr val="white"/>
            </a:solidFill>
            <a:ln w="1">
              <a:solidFill>
                <a:prstClr val="green"/>
              </a:solidFill>
            </a:ln>
          </xdr:spPr>
          <xdr:txBody>
            <a:bodyPr vertOverflow="clip" horzOverflow="clip"/>
            <a:lstStyle/>
            <a:p>
              <a:r>
                <a:rPr lang="LID4096"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354965</xdr:colOff>
      <xdr:row>13</xdr:row>
      <xdr:rowOff>93345</xdr:rowOff>
    </xdr:from>
    <xdr:to>
      <xdr:col>26</xdr:col>
      <xdr:colOff>163831</xdr:colOff>
      <xdr:row>23</xdr:row>
      <xdr:rowOff>76835</xdr:rowOff>
    </xdr:to>
    <mc:AlternateContent xmlns:mc="http://schemas.openxmlformats.org/markup-compatibility/2006">
      <mc:Choice xmlns:a14="http://schemas.microsoft.com/office/drawing/2010/main" Requires="a14">
        <xdr:graphicFrame macro="">
          <xdr:nvGraphicFramePr>
            <xdr:cNvPr id="46" name="Days (Date)">
              <a:extLst>
                <a:ext uri="{FF2B5EF4-FFF2-40B4-BE49-F238E27FC236}">
                  <a16:creationId xmlns:a16="http://schemas.microsoft.com/office/drawing/2014/main" id="{C4BFB0E2-F729-4316-D633-68A4A959E2A6}"/>
                </a:ext>
              </a:extLst>
            </xdr:cNvPr>
            <xdr:cNvGraphicFramePr/>
          </xdr:nvGraphicFramePr>
          <xdr:xfrm>
            <a:off x="0" y="0"/>
            <a:ext cx="0" cy="0"/>
          </xdr:xfrm>
          <a:graphic>
            <a:graphicData uri="http://schemas.microsoft.com/office/drawing/2010/slicer">
              <sle:slicer xmlns:sle="http://schemas.microsoft.com/office/drawing/2010/slicer" name="Days (Date)"/>
            </a:graphicData>
          </a:graphic>
        </xdr:graphicFrame>
      </mc:Choice>
      <mc:Fallback>
        <xdr:sp macro="" textlink="">
          <xdr:nvSpPr>
            <xdr:cNvPr id="0" name=""/>
            <xdr:cNvSpPr>
              <a:spLocks noTextEdit="1"/>
            </xdr:cNvSpPr>
          </xdr:nvSpPr>
          <xdr:spPr>
            <a:xfrm>
              <a:off x="16513175" y="2326005"/>
              <a:ext cx="1142366" cy="1694180"/>
            </a:xfrm>
            <a:prstGeom prst="rect">
              <a:avLst/>
            </a:prstGeom>
            <a:solidFill>
              <a:prstClr val="white"/>
            </a:solidFill>
            <a:ln w="1">
              <a:solidFill>
                <a:prstClr val="green"/>
              </a:solidFill>
            </a:ln>
          </xdr:spPr>
          <xdr:txBody>
            <a:bodyPr vertOverflow="clip" horzOverflow="clip"/>
            <a:lstStyle/>
            <a:p>
              <a:r>
                <a:rPr lang="LID4096"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359411</xdr:colOff>
      <xdr:row>29</xdr:row>
      <xdr:rowOff>60674</xdr:rowOff>
    </xdr:from>
    <xdr:to>
      <xdr:col>26</xdr:col>
      <xdr:colOff>150495</xdr:colOff>
      <xdr:row>38</xdr:row>
      <xdr:rowOff>152400</xdr:rowOff>
    </xdr:to>
    <mc:AlternateContent xmlns:mc="http://schemas.openxmlformats.org/markup-compatibility/2006">
      <mc:Choice xmlns:a14="http://schemas.microsoft.com/office/drawing/2010/main" Requires="a14">
        <xdr:graphicFrame macro="">
          <xdr:nvGraphicFramePr>
            <xdr:cNvPr id="47" name="Months (Date)">
              <a:extLst>
                <a:ext uri="{FF2B5EF4-FFF2-40B4-BE49-F238E27FC236}">
                  <a16:creationId xmlns:a16="http://schemas.microsoft.com/office/drawing/2014/main" id="{6BD82F3F-BAC6-1DF0-0BF1-98BD0CB0998A}"/>
                </a:ext>
              </a:extLst>
            </xdr:cNvPr>
            <xdr:cNvGraphicFramePr/>
          </xdr:nvGraphicFramePr>
          <xdr:xfrm>
            <a:off x="0" y="0"/>
            <a:ext cx="0" cy="0"/>
          </xdr:xfrm>
          <a:graphic>
            <a:graphicData uri="http://schemas.microsoft.com/office/drawing/2010/slicer">
              <sle:slicer xmlns:sle="http://schemas.microsoft.com/office/drawing/2010/slicer" name="Months (Date)"/>
            </a:graphicData>
          </a:graphic>
        </xdr:graphicFrame>
      </mc:Choice>
      <mc:Fallback>
        <xdr:sp macro="" textlink="">
          <xdr:nvSpPr>
            <xdr:cNvPr id="0" name=""/>
            <xdr:cNvSpPr>
              <a:spLocks noTextEdit="1"/>
            </xdr:cNvSpPr>
          </xdr:nvSpPr>
          <xdr:spPr>
            <a:xfrm>
              <a:off x="16517621" y="5028914"/>
              <a:ext cx="1120774" cy="1638586"/>
            </a:xfrm>
            <a:prstGeom prst="rect">
              <a:avLst/>
            </a:prstGeom>
            <a:solidFill>
              <a:prstClr val="white"/>
            </a:solidFill>
            <a:ln w="1">
              <a:solidFill>
                <a:prstClr val="green"/>
              </a:solidFill>
            </a:ln>
          </xdr:spPr>
          <xdr:txBody>
            <a:bodyPr vertOverflow="clip" horzOverflow="clip"/>
            <a:lstStyle/>
            <a:p>
              <a:r>
                <a:rPr lang="LID4096"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24</xdr:col>
      <xdr:colOff>352002</xdr:colOff>
      <xdr:row>8</xdr:row>
      <xdr:rowOff>133350</xdr:rowOff>
    </xdr:from>
    <xdr:ext cx="1097703" cy="800100"/>
    <xdr:sp macro="" textlink="">
      <xdr:nvSpPr>
        <xdr:cNvPr id="49" name="TextBox 48">
          <a:extLst>
            <a:ext uri="{FF2B5EF4-FFF2-40B4-BE49-F238E27FC236}">
              <a16:creationId xmlns:a16="http://schemas.microsoft.com/office/drawing/2014/main" id="{10430E8A-4BB5-915C-ABFD-0016CAE05E01}"/>
            </a:ext>
          </a:extLst>
        </xdr:cNvPr>
        <xdr:cNvSpPr txBox="1"/>
      </xdr:nvSpPr>
      <xdr:spPr>
        <a:xfrm>
          <a:off x="16506402" y="1504950"/>
          <a:ext cx="1097703" cy="8001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1600" b="1">
              <a:solidFill>
                <a:sysClr val="windowText" lastClr="000000"/>
              </a:solidFill>
            </a:rPr>
            <a:t>"Use</a:t>
          </a:r>
          <a:r>
            <a:rPr lang="en-US" sz="1600" b="1" baseline="0">
              <a:solidFill>
                <a:sysClr val="windowText" lastClr="000000"/>
              </a:solidFill>
            </a:rPr>
            <a:t> ONE filter at a time."</a:t>
          </a:r>
          <a:endParaRPr lang="LID4096" sz="1600" b="1">
            <a:solidFill>
              <a:sysClr val="windowText" lastClr="000000"/>
            </a:solidFill>
          </a:endParaRPr>
        </a:p>
      </xdr:txBody>
    </xdr:sp>
    <xdr:clientData/>
  </xdr:oneCellAnchor>
  <xdr:twoCellAnchor>
    <xdr:from>
      <xdr:col>7</xdr:col>
      <xdr:colOff>550001</xdr:colOff>
      <xdr:row>34</xdr:row>
      <xdr:rowOff>1814</xdr:rowOff>
    </xdr:from>
    <xdr:to>
      <xdr:col>9</xdr:col>
      <xdr:colOff>352424</xdr:colOff>
      <xdr:row>36</xdr:row>
      <xdr:rowOff>91440</xdr:rowOff>
    </xdr:to>
    <xdr:sp macro="" textlink="Helper!$C$15">
      <xdr:nvSpPr>
        <xdr:cNvPr id="21" name="TextBox 1">
          <a:extLst>
            <a:ext uri="{FF2B5EF4-FFF2-40B4-BE49-F238E27FC236}">
              <a16:creationId xmlns:a16="http://schemas.microsoft.com/office/drawing/2014/main" id="{D6732FB5-BDF2-5AAE-04A3-C15E4AF7B380}"/>
            </a:ext>
          </a:extLst>
        </xdr:cNvPr>
        <xdr:cNvSpPr txBox="1"/>
      </xdr:nvSpPr>
      <xdr:spPr>
        <a:xfrm>
          <a:off x="5369651" y="5831114"/>
          <a:ext cx="1135923" cy="432526"/>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fld id="{2C621078-83D1-4660-B344-10B70FE1274A}" type="TxLink">
            <a:rPr lang="en-US" sz="1200" b="1" i="0" u="none" strike="noStrike" kern="1200">
              <a:solidFill>
                <a:srgbClr val="2E7D32"/>
              </a:solidFill>
              <a:latin typeface="Tw Cen MT"/>
            </a:rPr>
            <a:pPr/>
            <a:t>Current Weight: 58 kg</a:t>
          </a:fld>
          <a:endParaRPr lang="LID4096" sz="2400" b="1" kern="1200">
            <a:solidFill>
              <a:srgbClr val="2E7D32"/>
            </a:solidFill>
          </a:endParaRPr>
        </a:p>
      </xdr:txBody>
    </xdr:sp>
    <xdr:clientData/>
  </xdr:twoCellAnchor>
  <xdr:twoCellAnchor>
    <xdr:from>
      <xdr:col>7</xdr:col>
      <xdr:colOff>407398</xdr:colOff>
      <xdr:row>12</xdr:row>
      <xdr:rowOff>17418</xdr:rowOff>
    </xdr:from>
    <xdr:to>
      <xdr:col>14</xdr:col>
      <xdr:colOff>253365</xdr:colOff>
      <xdr:row>28</xdr:row>
      <xdr:rowOff>152400</xdr:rowOff>
    </xdr:to>
    <xdr:graphicFrame macro="">
      <xdr:nvGraphicFramePr>
        <xdr:cNvPr id="50" name="Chart 49">
          <a:extLst>
            <a:ext uri="{FF2B5EF4-FFF2-40B4-BE49-F238E27FC236}">
              <a16:creationId xmlns:a16="http://schemas.microsoft.com/office/drawing/2014/main" id="{4BFC905C-E3F3-4236-98E4-6AEAC9737C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20</xdr:col>
      <xdr:colOff>390525</xdr:colOff>
      <xdr:row>43</xdr:row>
      <xdr:rowOff>134831</xdr:rowOff>
    </xdr:from>
    <xdr:to>
      <xdr:col>24</xdr:col>
      <xdr:colOff>340573</xdr:colOff>
      <xdr:row>46</xdr:row>
      <xdr:rowOff>30896</xdr:rowOff>
    </xdr:to>
    <xdr:sp macro="" textlink="">
      <xdr:nvSpPr>
        <xdr:cNvPr id="51" name="Rectangle 50">
          <a:extLst>
            <a:ext uri="{FF2B5EF4-FFF2-40B4-BE49-F238E27FC236}">
              <a16:creationId xmlns:a16="http://schemas.microsoft.com/office/drawing/2014/main" id="{AB556A3C-D431-4F0F-B618-8C46AB8F4255}"/>
            </a:ext>
          </a:extLst>
        </xdr:cNvPr>
        <xdr:cNvSpPr/>
      </xdr:nvSpPr>
      <xdr:spPr>
        <a:xfrm>
          <a:off x="13877925" y="7507181"/>
          <a:ext cx="2617048" cy="41041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US" sz="1400" b="1">
              <a:solidFill>
                <a:sysClr val="windowText" lastClr="000000"/>
              </a:solidFill>
              <a:effectLst/>
              <a:latin typeface="+mn-lt"/>
              <a:ea typeface="+mn-ea"/>
              <a:cs typeface="+mn-cs"/>
            </a:rPr>
            <a:t>Designed</a:t>
          </a:r>
          <a:r>
            <a:rPr lang="en-US" sz="1400" b="1" baseline="0">
              <a:solidFill>
                <a:sysClr val="windowText" lastClr="000000"/>
              </a:solidFill>
              <a:effectLst/>
              <a:latin typeface="+mn-lt"/>
              <a:ea typeface="+mn-ea"/>
              <a:cs typeface="+mn-cs"/>
            </a:rPr>
            <a:t> by: Khadija MUSTAFA</a:t>
          </a:r>
          <a:endParaRPr lang="en-BI" sz="1600">
            <a:solidFill>
              <a:sysClr val="windowText" lastClr="000000"/>
            </a:solidFill>
            <a:effectLst/>
          </a:endParaRPr>
        </a:p>
      </xdr:txBody>
    </xdr:sp>
    <xdr:clientData/>
  </xdr:twoCellAnchor>
</xdr:wsDr>
</file>

<file path=xl/drawings/drawing2.xml><?xml version="1.0" encoding="utf-8"?>
<c:userShapes xmlns:c="http://schemas.openxmlformats.org/drawingml/2006/chart">
  <cdr:relSizeAnchor xmlns:cdr="http://schemas.openxmlformats.org/drawingml/2006/chartDrawing">
    <cdr:from>
      <cdr:x>0.58745</cdr:x>
      <cdr:y>0.62188</cdr:y>
    </cdr:from>
    <cdr:to>
      <cdr:x>0.84192</cdr:x>
      <cdr:y>0.74417</cdr:y>
    </cdr:to>
    <cdr:sp macro="" textlink="Helper!$C$14">
      <cdr:nvSpPr>
        <cdr:cNvPr id="4" name="TextBox 1">
          <a:extLst xmlns:a="http://schemas.openxmlformats.org/drawingml/2006/main">
            <a:ext uri="{FF2B5EF4-FFF2-40B4-BE49-F238E27FC236}">
              <a16:creationId xmlns:a16="http://schemas.microsoft.com/office/drawing/2014/main" id="{37AB3344-8A2F-141E-DFA0-5D6D426B3BDF}"/>
            </a:ext>
          </a:extLst>
        </cdr:cNvPr>
        <cdr:cNvSpPr txBox="1"/>
      </cdr:nvSpPr>
      <cdr:spPr>
        <a:xfrm xmlns:a="http://schemas.openxmlformats.org/drawingml/2006/main">
          <a:off x="2520216" y="1412151"/>
          <a:ext cx="1091664" cy="27769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6542377E-F143-4E91-8C65-ABBBBD35CB3B}" type="TxLink">
            <a:rPr lang="en-US" sz="1200" b="1" i="0" u="none" strike="noStrike" kern="1200">
              <a:solidFill>
                <a:srgbClr val="2E7D32"/>
              </a:solidFill>
              <a:latin typeface="Tw Cen MT"/>
            </a:rPr>
            <a:pPr/>
            <a:t>Goal: 45 kg</a:t>
          </a:fld>
          <a:endParaRPr lang="LID4096" sz="2000" b="1" kern="1200">
            <a:solidFill>
              <a:srgbClr val="2E7D32"/>
            </a:solidFill>
          </a:endParaRPr>
        </a:p>
      </cdr:txBody>
    </cdr:sp>
  </cdr:relSizeAnchor>
</c:userShapes>
</file>

<file path=xl/drawings/drawing3.xml><?xml version="1.0" encoding="utf-8"?>
<xdr:wsDr xmlns:xdr="http://schemas.openxmlformats.org/drawingml/2006/spreadsheetDrawing" xmlns:a="http://schemas.openxmlformats.org/drawingml/2006/main">
  <xdr:twoCellAnchor>
    <xdr:from>
      <xdr:col>6</xdr:col>
      <xdr:colOff>45720</xdr:colOff>
      <xdr:row>1</xdr:row>
      <xdr:rowOff>167640</xdr:rowOff>
    </xdr:from>
    <xdr:to>
      <xdr:col>11</xdr:col>
      <xdr:colOff>632460</xdr:colOff>
      <xdr:row>3</xdr:row>
      <xdr:rowOff>251460</xdr:rowOff>
    </xdr:to>
    <xdr:sp macro="" textlink="">
      <xdr:nvSpPr>
        <xdr:cNvPr id="2" name="Rectangle 1">
          <a:extLst>
            <a:ext uri="{FF2B5EF4-FFF2-40B4-BE49-F238E27FC236}">
              <a16:creationId xmlns:a16="http://schemas.microsoft.com/office/drawing/2014/main" id="{8068F0FF-0FDC-FC54-6BA7-221DDF26FF92}"/>
            </a:ext>
          </a:extLst>
        </xdr:cNvPr>
        <xdr:cNvSpPr/>
      </xdr:nvSpPr>
      <xdr:spPr>
        <a:xfrm>
          <a:off x="4069080" y="342900"/>
          <a:ext cx="3939540" cy="44196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ysClr val="windowText" lastClr="000000"/>
              </a:solidFill>
              <a:latin typeface="Amasis MT Pro Black" panose="02040A04050005020304" pitchFamily="18" charset="0"/>
            </a:rPr>
            <a:t>FITNESS CALCULATOR</a:t>
          </a:r>
          <a:endParaRPr lang="LID4096" sz="2400">
            <a:solidFill>
              <a:sysClr val="windowText" lastClr="000000"/>
            </a:solidFill>
            <a:latin typeface="Amasis MT Pro Black" panose="02040A04050005020304" pitchFamily="18" charset="0"/>
          </a:endParaRPr>
        </a:p>
      </xdr:txBody>
    </xdr:sp>
    <xdr:clientData/>
  </xdr:twoCellAnchor>
  <xdr:twoCellAnchor>
    <xdr:from>
      <xdr:col>3</xdr:col>
      <xdr:colOff>0</xdr:colOff>
      <xdr:row>5</xdr:row>
      <xdr:rowOff>161925</xdr:rowOff>
    </xdr:from>
    <xdr:to>
      <xdr:col>8</xdr:col>
      <xdr:colOff>586740</xdr:colOff>
      <xdr:row>8</xdr:row>
      <xdr:rowOff>47625</xdr:rowOff>
    </xdr:to>
    <xdr:sp macro="" textlink="">
      <xdr:nvSpPr>
        <xdr:cNvPr id="59" name="Rectangle 58">
          <a:extLst>
            <a:ext uri="{FF2B5EF4-FFF2-40B4-BE49-F238E27FC236}">
              <a16:creationId xmlns:a16="http://schemas.microsoft.com/office/drawing/2014/main" id="{CC8AC12A-9F4F-4D4B-BDA3-7CFDD747F3D9}"/>
            </a:ext>
          </a:extLst>
        </xdr:cNvPr>
        <xdr:cNvSpPr/>
      </xdr:nvSpPr>
      <xdr:spPr>
        <a:xfrm>
          <a:off x="2000250" y="1228725"/>
          <a:ext cx="3920490" cy="438150"/>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pl-PL" sz="1400" b="1" i="0">
              <a:solidFill>
                <a:sysClr val="windowText" lastClr="000000"/>
              </a:solidFill>
              <a:effectLst/>
              <a:latin typeface="Amasis MT Pro Medium" panose="02040604050005020304" pitchFamily="18" charset="0"/>
              <a:ea typeface="+mn-ea"/>
              <a:cs typeface="+mn-cs"/>
            </a:rPr>
            <a:t>Purpose of the Workbook</a:t>
          </a:r>
          <a:endParaRPr lang="LID4096" sz="3200">
            <a:solidFill>
              <a:sysClr val="windowText" lastClr="000000"/>
            </a:solidFill>
            <a:latin typeface="Amasis MT Pro Medium" panose="02040604050005020304" pitchFamily="18" charset="0"/>
          </a:endParaRPr>
        </a:p>
      </xdr:txBody>
    </xdr:sp>
    <xdr:clientData/>
  </xdr:twoCellAnchor>
  <xdr:twoCellAnchor>
    <xdr:from>
      <xdr:col>3</xdr:col>
      <xdr:colOff>0</xdr:colOff>
      <xdr:row>8</xdr:row>
      <xdr:rowOff>45720</xdr:rowOff>
    </xdr:from>
    <xdr:to>
      <xdr:col>9</xdr:col>
      <xdr:colOff>396240</xdr:colOff>
      <xdr:row>10</xdr:row>
      <xdr:rowOff>104775</xdr:rowOff>
    </xdr:to>
    <xdr:sp macro="" textlink="">
      <xdr:nvSpPr>
        <xdr:cNvPr id="60" name="Rectangle 59">
          <a:extLst>
            <a:ext uri="{FF2B5EF4-FFF2-40B4-BE49-F238E27FC236}">
              <a16:creationId xmlns:a16="http://schemas.microsoft.com/office/drawing/2014/main" id="{387A05AC-1813-40D8-872D-57B564214E70}"/>
            </a:ext>
          </a:extLst>
        </xdr:cNvPr>
        <xdr:cNvSpPr/>
      </xdr:nvSpPr>
      <xdr:spPr>
        <a:xfrm>
          <a:off x="2000250" y="1664970"/>
          <a:ext cx="4396740" cy="421005"/>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pl-PL" sz="1200" b="0" i="0">
              <a:solidFill>
                <a:sysClr val="windowText" lastClr="000000"/>
              </a:solidFill>
              <a:effectLst/>
              <a:latin typeface="+mn-lt"/>
              <a:ea typeface="+mn-ea"/>
              <a:cs typeface="+mn-cs"/>
            </a:rPr>
            <a:t>This file tracks workouts, body measurements, and progress graphs.</a:t>
          </a:r>
          <a:endParaRPr lang="LID4096" sz="2800">
            <a:solidFill>
              <a:sysClr val="windowText" lastClr="000000"/>
            </a:solidFill>
            <a:latin typeface="Amasis MT Pro Black" panose="02040A04050005020304" pitchFamily="18" charset="0"/>
          </a:endParaRPr>
        </a:p>
      </xdr:txBody>
    </xdr:sp>
    <xdr:clientData/>
  </xdr:twoCellAnchor>
  <xdr:twoCellAnchor>
    <xdr:from>
      <xdr:col>3</xdr:col>
      <xdr:colOff>1905</xdr:colOff>
      <xdr:row>11</xdr:row>
      <xdr:rowOff>135255</xdr:rowOff>
    </xdr:from>
    <xdr:to>
      <xdr:col>9</xdr:col>
      <xdr:colOff>93345</xdr:colOff>
      <xdr:row>14</xdr:row>
      <xdr:rowOff>59055</xdr:rowOff>
    </xdr:to>
    <xdr:sp macro="" textlink="">
      <xdr:nvSpPr>
        <xdr:cNvPr id="61" name="Rectangle 60">
          <a:extLst>
            <a:ext uri="{FF2B5EF4-FFF2-40B4-BE49-F238E27FC236}">
              <a16:creationId xmlns:a16="http://schemas.microsoft.com/office/drawing/2014/main" id="{AAFD6857-E0B4-458E-8C46-ECE31E1C87C0}"/>
            </a:ext>
          </a:extLst>
        </xdr:cNvPr>
        <xdr:cNvSpPr/>
      </xdr:nvSpPr>
      <xdr:spPr>
        <a:xfrm>
          <a:off x="2188845" y="2314575"/>
          <a:ext cx="4114800" cy="449580"/>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a:solidFill>
                <a:sysClr val="windowText" lastClr="000000"/>
              </a:solidFill>
              <a:latin typeface="Amasis MT Pro Medium" panose="02040604050005020304" pitchFamily="18" charset="0"/>
            </a:rPr>
            <a:t>Sheet Guide</a:t>
          </a:r>
          <a:endParaRPr lang="LID4096" sz="1400">
            <a:solidFill>
              <a:sysClr val="windowText" lastClr="000000"/>
            </a:solidFill>
            <a:latin typeface="Amasis MT Pro Medium" panose="02040604050005020304" pitchFamily="18" charset="0"/>
          </a:endParaRPr>
        </a:p>
      </xdr:txBody>
    </xdr:sp>
    <xdr:clientData/>
  </xdr:twoCellAnchor>
  <xdr:twoCellAnchor>
    <xdr:from>
      <xdr:col>3</xdr:col>
      <xdr:colOff>1905</xdr:colOff>
      <xdr:row>14</xdr:row>
      <xdr:rowOff>62866</xdr:rowOff>
    </xdr:from>
    <xdr:to>
      <xdr:col>12</xdr:col>
      <xdr:colOff>291465</xdr:colOff>
      <xdr:row>19</xdr:row>
      <xdr:rowOff>112396</xdr:rowOff>
    </xdr:to>
    <xdr:sp macro="" textlink="">
      <xdr:nvSpPr>
        <xdr:cNvPr id="62" name="Rectangle 61">
          <a:extLst>
            <a:ext uri="{FF2B5EF4-FFF2-40B4-BE49-F238E27FC236}">
              <a16:creationId xmlns:a16="http://schemas.microsoft.com/office/drawing/2014/main" id="{A38E42B4-B368-4D0C-BB70-FA3F74D1B528}"/>
            </a:ext>
          </a:extLst>
        </xdr:cNvPr>
        <xdr:cNvSpPr/>
      </xdr:nvSpPr>
      <xdr:spPr>
        <a:xfrm>
          <a:off x="2013585" y="2767966"/>
          <a:ext cx="6324600" cy="925830"/>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171450" indent="-171450" algn="l">
            <a:buFont typeface="Arial" panose="020B0604020202020204" pitchFamily="34" charset="0"/>
            <a:buChar char="•"/>
          </a:pPr>
          <a:r>
            <a:rPr lang="en-US" sz="1200" b="0">
              <a:solidFill>
                <a:sysClr val="windowText" lastClr="000000"/>
              </a:solidFill>
              <a:latin typeface="+mn-lt"/>
            </a:rPr>
            <a:t>Workout Log: Recordndaily exercise details (date, type, sets, reps,</a:t>
          </a:r>
          <a:r>
            <a:rPr lang="en-US" sz="1200" b="0" baseline="0">
              <a:solidFill>
                <a:sysClr val="windowText" lastClr="000000"/>
              </a:solidFill>
              <a:latin typeface="+mn-lt"/>
            </a:rPr>
            <a:t> durations, calories).</a:t>
          </a:r>
        </a:p>
        <a:p>
          <a:pPr marL="171450" indent="-171450" algn="l">
            <a:buFont typeface="Arial" panose="020B0604020202020204" pitchFamily="34" charset="0"/>
            <a:buChar char="•"/>
          </a:pPr>
          <a:r>
            <a:rPr lang="en-US" sz="1200" b="0" baseline="0">
              <a:solidFill>
                <a:sysClr val="windowText" lastClr="000000"/>
              </a:solidFill>
              <a:latin typeface="+mn-lt"/>
            </a:rPr>
            <a:t>Body MEasurements: Update weight, waist, hips, chest, arms, thighs, BMI.</a:t>
          </a:r>
        </a:p>
        <a:p>
          <a:pPr marL="171450" indent="-171450" algn="l">
            <a:buFont typeface="Arial" panose="020B0604020202020204" pitchFamily="34" charset="0"/>
            <a:buChar char="•"/>
          </a:pPr>
          <a:r>
            <a:rPr lang="en-US" sz="1200" b="0" baseline="0">
              <a:solidFill>
                <a:sysClr val="windowText" lastClr="000000"/>
              </a:solidFill>
              <a:latin typeface="+mn-lt"/>
            </a:rPr>
            <a:t>Dashboard: Automatically shows graphs &amp; KPIs.</a:t>
          </a:r>
        </a:p>
        <a:p>
          <a:pPr marL="171450" indent="-171450" algn="l">
            <a:buFont typeface="Arial" panose="020B0604020202020204" pitchFamily="34" charset="0"/>
            <a:buChar char="•"/>
          </a:pPr>
          <a:r>
            <a:rPr lang="en-US" sz="1200" b="0" baseline="0">
              <a:solidFill>
                <a:sysClr val="windowText" lastClr="000000"/>
              </a:solidFill>
              <a:latin typeface="+mn-lt"/>
            </a:rPr>
            <a:t>Reference:</a:t>
          </a:r>
          <a:endParaRPr lang="LID4096" sz="1200" b="0">
            <a:solidFill>
              <a:sysClr val="windowText" lastClr="000000"/>
            </a:solidFill>
            <a:latin typeface="+mn-lt"/>
          </a:endParaRPr>
        </a:p>
      </xdr:txBody>
    </xdr:sp>
    <xdr:clientData/>
  </xdr:twoCellAnchor>
  <xdr:twoCellAnchor>
    <xdr:from>
      <xdr:col>3</xdr:col>
      <xdr:colOff>0</xdr:colOff>
      <xdr:row>21</xdr:row>
      <xdr:rowOff>0</xdr:rowOff>
    </xdr:from>
    <xdr:to>
      <xdr:col>8</xdr:col>
      <xdr:colOff>581025</xdr:colOff>
      <xdr:row>23</xdr:row>
      <xdr:rowOff>95250</xdr:rowOff>
    </xdr:to>
    <xdr:sp macro="" textlink="">
      <xdr:nvSpPr>
        <xdr:cNvPr id="3" name="Rectangle 2">
          <a:extLst>
            <a:ext uri="{FF2B5EF4-FFF2-40B4-BE49-F238E27FC236}">
              <a16:creationId xmlns:a16="http://schemas.microsoft.com/office/drawing/2014/main" id="{1F615C42-A095-4279-A220-6B25FFC54274}"/>
            </a:ext>
          </a:extLst>
        </xdr:cNvPr>
        <xdr:cNvSpPr/>
      </xdr:nvSpPr>
      <xdr:spPr>
        <a:xfrm>
          <a:off x="2000250" y="3867150"/>
          <a:ext cx="3914775" cy="438150"/>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pl-PL" sz="1400" b="0" i="0">
              <a:solidFill>
                <a:sysClr val="windowText" lastClr="000000"/>
              </a:solidFill>
              <a:effectLst/>
              <a:latin typeface="Amasis MT Pro Medium" panose="02040604050005020304" pitchFamily="18" charset="0"/>
              <a:ea typeface="+mn-ea"/>
              <a:cs typeface="+mn-cs"/>
            </a:rPr>
            <a:t>How to Enter Data</a:t>
          </a:r>
          <a:endParaRPr lang="LID4096" sz="1800" b="0">
            <a:solidFill>
              <a:sysClr val="windowText" lastClr="000000"/>
            </a:solidFill>
            <a:latin typeface="Amasis MT Pro Medium" panose="02040604050005020304" pitchFamily="18" charset="0"/>
          </a:endParaRPr>
        </a:p>
      </xdr:txBody>
    </xdr:sp>
    <xdr:clientData/>
  </xdr:twoCellAnchor>
  <xdr:twoCellAnchor>
    <xdr:from>
      <xdr:col>3</xdr:col>
      <xdr:colOff>0</xdr:colOff>
      <xdr:row>23</xdr:row>
      <xdr:rowOff>99061</xdr:rowOff>
    </xdr:from>
    <xdr:to>
      <xdr:col>12</xdr:col>
      <xdr:colOff>285750</xdr:colOff>
      <xdr:row>66</xdr:row>
      <xdr:rowOff>36195</xdr:rowOff>
    </xdr:to>
    <xdr:sp macro="" textlink="">
      <xdr:nvSpPr>
        <xdr:cNvPr id="4" name="Rectangle 3">
          <a:extLst>
            <a:ext uri="{FF2B5EF4-FFF2-40B4-BE49-F238E27FC236}">
              <a16:creationId xmlns:a16="http://schemas.microsoft.com/office/drawing/2014/main" id="{40173D96-254A-4E1D-ABF4-483E437B6163}"/>
            </a:ext>
          </a:extLst>
        </xdr:cNvPr>
        <xdr:cNvSpPr/>
      </xdr:nvSpPr>
      <xdr:spPr>
        <a:xfrm>
          <a:off x="2011680" y="4381501"/>
          <a:ext cx="6320790" cy="747331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BI" sz="1400" b="1" i="0">
              <a:solidFill>
                <a:sysClr val="windowText" lastClr="000000"/>
              </a:solidFill>
              <a:effectLst/>
              <a:latin typeface="+mn-lt"/>
              <a:ea typeface="+mn-ea"/>
              <a:cs typeface="+mn-cs"/>
            </a:rPr>
            <a:t>🏋️ </a:t>
          </a:r>
          <a:r>
            <a:rPr lang="pl-PL" sz="1400" b="1" i="0">
              <a:solidFill>
                <a:sysClr val="windowText" lastClr="000000"/>
              </a:solidFill>
              <a:effectLst/>
              <a:latin typeface="+mn-lt"/>
              <a:ea typeface="+mn-ea"/>
              <a:cs typeface="+mn-cs"/>
            </a:rPr>
            <a:t>Workout Log – Instructions</a:t>
          </a:r>
        </a:p>
        <a:p>
          <a:endParaRPr lang="en-US" sz="1200" b="1" i="0">
            <a:solidFill>
              <a:sysClr val="windowText" lastClr="000000"/>
            </a:solidFill>
            <a:effectLst/>
            <a:latin typeface="+mn-lt"/>
            <a:ea typeface="+mn-ea"/>
            <a:cs typeface="+mn-cs"/>
          </a:endParaRPr>
        </a:p>
        <a:p>
          <a:r>
            <a:rPr lang="en-BI" sz="1200" b="1" i="0">
              <a:solidFill>
                <a:sysClr val="windowText" lastClr="000000"/>
              </a:solidFill>
              <a:effectLst/>
              <a:latin typeface="+mn-lt"/>
              <a:ea typeface="+mn-ea"/>
              <a:cs typeface="+mn-cs"/>
            </a:rPr>
            <a:t>📅 </a:t>
          </a:r>
          <a:r>
            <a:rPr lang="pl-PL" sz="1200" b="1" i="0">
              <a:solidFill>
                <a:sysClr val="windowText" lastClr="000000"/>
              </a:solidFill>
              <a:effectLst/>
              <a:latin typeface="+mn-lt"/>
              <a:ea typeface="+mn-ea"/>
              <a:cs typeface="+mn-cs"/>
            </a:rPr>
            <a:t>Date</a:t>
          </a:r>
        </a:p>
        <a:p>
          <a:pPr marL="171450" indent="-171450">
            <a:buFont typeface="Arial" panose="020B0604020202020204" pitchFamily="34" charset="0"/>
            <a:buChar char="•"/>
          </a:pPr>
          <a:r>
            <a:rPr lang="pl-PL" sz="1200" b="0" i="0">
              <a:solidFill>
                <a:sysClr val="windowText" lastClr="000000"/>
              </a:solidFill>
              <a:effectLst/>
              <a:latin typeface="+mn-lt"/>
              <a:ea typeface="+mn-ea"/>
              <a:cs typeface="+mn-cs"/>
            </a:rPr>
            <a:t>Click the cell → A </a:t>
          </a:r>
          <a:r>
            <a:rPr lang="pl-PL" sz="1200" b="1" i="0">
              <a:solidFill>
                <a:sysClr val="windowText" lastClr="000000"/>
              </a:solidFill>
              <a:effectLst/>
              <a:latin typeface="+mn-lt"/>
              <a:ea typeface="+mn-ea"/>
              <a:cs typeface="+mn-cs"/>
            </a:rPr>
            <a:t>calendar pops up (VBA)</a:t>
          </a:r>
          <a:r>
            <a:rPr lang="pl-PL" sz="1200" b="0" i="0">
              <a:solidFill>
                <a:sysClr val="windowText" lastClr="000000"/>
              </a:solidFill>
              <a:effectLst/>
              <a:latin typeface="+mn-lt"/>
              <a:ea typeface="+mn-ea"/>
              <a:cs typeface="+mn-cs"/>
            </a:rPr>
            <a:t> to select the workout date.</a:t>
          </a:r>
        </a:p>
        <a:p>
          <a:pPr marL="171450" indent="-171450">
            <a:buFont typeface="Arial" panose="020B0604020202020204" pitchFamily="34" charset="0"/>
            <a:buChar char="•"/>
          </a:pPr>
          <a:r>
            <a:rPr lang="pl-PL" sz="1200" b="0" i="0">
              <a:solidFill>
                <a:sysClr val="windowText" lastClr="000000"/>
              </a:solidFill>
              <a:effectLst/>
              <a:latin typeface="+mn-lt"/>
              <a:ea typeface="+mn-ea"/>
              <a:cs typeface="+mn-cs"/>
            </a:rPr>
            <a:t>The </a:t>
          </a:r>
          <a:r>
            <a:rPr lang="pl-PL" sz="1200" b="1" i="0">
              <a:solidFill>
                <a:sysClr val="windowText" lastClr="000000"/>
              </a:solidFill>
              <a:effectLst/>
              <a:latin typeface="+mn-lt"/>
              <a:ea typeface="+mn-ea"/>
              <a:cs typeface="+mn-cs"/>
            </a:rPr>
            <a:t>Week Number</a:t>
          </a:r>
          <a:r>
            <a:rPr lang="pl-PL" sz="1200" b="0" i="0">
              <a:solidFill>
                <a:sysClr val="windowText" lastClr="000000"/>
              </a:solidFill>
              <a:effectLst/>
              <a:latin typeface="+mn-lt"/>
              <a:ea typeface="+mn-ea"/>
              <a:cs typeface="+mn-cs"/>
            </a:rPr>
            <a:t> is auto-calculated with a formula.</a:t>
          </a:r>
          <a:endParaRPr lang="en-US" sz="1200" b="0" i="0">
            <a:solidFill>
              <a:sysClr val="windowText" lastClr="000000"/>
            </a:solidFill>
            <a:effectLst/>
            <a:latin typeface="+mn-lt"/>
            <a:ea typeface="+mn-ea"/>
            <a:cs typeface="+mn-cs"/>
          </a:endParaRPr>
        </a:p>
        <a:p>
          <a:pPr marL="171450" indent="-171450">
            <a:buFont typeface="Arial" panose="020B0604020202020204" pitchFamily="34" charset="0"/>
            <a:buChar char="•"/>
          </a:pPr>
          <a:endParaRPr lang="pl-PL" sz="1200" b="0" i="0">
            <a:solidFill>
              <a:sysClr val="windowText" lastClr="000000"/>
            </a:solidFill>
            <a:effectLst/>
            <a:latin typeface="+mn-lt"/>
            <a:ea typeface="+mn-ea"/>
            <a:cs typeface="+mn-cs"/>
          </a:endParaRPr>
        </a:p>
        <a:p>
          <a:r>
            <a:rPr lang="en-BI" sz="1200" b="1" i="0">
              <a:solidFill>
                <a:sysClr val="windowText" lastClr="000000"/>
              </a:solidFill>
              <a:effectLst/>
              <a:latin typeface="+mn-lt"/>
              <a:ea typeface="+mn-ea"/>
              <a:cs typeface="+mn-cs"/>
            </a:rPr>
            <a:t>📂 </a:t>
          </a:r>
          <a:r>
            <a:rPr lang="pl-PL" sz="1200" b="1" i="0">
              <a:solidFill>
                <a:sysClr val="windowText" lastClr="000000"/>
              </a:solidFill>
              <a:effectLst/>
              <a:latin typeface="+mn-lt"/>
              <a:ea typeface="+mn-ea"/>
              <a:cs typeface="+mn-cs"/>
            </a:rPr>
            <a:t>Category</a:t>
          </a:r>
        </a:p>
        <a:p>
          <a:pPr marL="171450" indent="-171450">
            <a:buFont typeface="Arial" panose="020B0604020202020204" pitchFamily="34" charset="0"/>
            <a:buChar char="•"/>
          </a:pPr>
          <a:r>
            <a:rPr lang="pl-PL" sz="1200" b="0" i="0">
              <a:solidFill>
                <a:sysClr val="windowText" lastClr="000000"/>
              </a:solidFill>
              <a:effectLst/>
              <a:latin typeface="+mn-lt"/>
              <a:ea typeface="+mn-ea"/>
              <a:cs typeface="+mn-cs"/>
            </a:rPr>
            <a:t>Select from the dropdown list (Strength, Cardio, Flexibility, etc.).</a:t>
          </a:r>
          <a:endParaRPr lang="en-US" sz="1200" b="0" i="0">
            <a:solidFill>
              <a:sysClr val="windowText" lastClr="000000"/>
            </a:solidFill>
            <a:effectLst/>
            <a:latin typeface="+mn-lt"/>
            <a:ea typeface="+mn-ea"/>
            <a:cs typeface="+mn-cs"/>
          </a:endParaRPr>
        </a:p>
        <a:p>
          <a:pPr marL="171450" indent="-171450">
            <a:buFont typeface="Arial" panose="020B0604020202020204" pitchFamily="34" charset="0"/>
            <a:buChar char="•"/>
          </a:pPr>
          <a:endParaRPr lang="pl-PL" sz="1200" b="0" i="0">
            <a:solidFill>
              <a:sysClr val="windowText" lastClr="000000"/>
            </a:solidFill>
            <a:effectLst/>
            <a:latin typeface="+mn-lt"/>
            <a:ea typeface="+mn-ea"/>
            <a:cs typeface="+mn-cs"/>
          </a:endParaRPr>
        </a:p>
        <a:p>
          <a:r>
            <a:rPr lang="en-BI" sz="1200" b="1" i="0">
              <a:solidFill>
                <a:sysClr val="windowText" lastClr="000000"/>
              </a:solidFill>
              <a:effectLst/>
              <a:latin typeface="+mn-lt"/>
              <a:ea typeface="+mn-ea"/>
              <a:cs typeface="+mn-cs"/>
            </a:rPr>
            <a:t>📝 </a:t>
          </a:r>
          <a:r>
            <a:rPr lang="pl-PL" sz="1200" b="1" i="0">
              <a:solidFill>
                <a:sysClr val="windowText" lastClr="000000"/>
              </a:solidFill>
              <a:effectLst/>
              <a:latin typeface="+mn-lt"/>
              <a:ea typeface="+mn-ea"/>
              <a:cs typeface="+mn-cs"/>
            </a:rPr>
            <a:t>Exercise</a:t>
          </a:r>
        </a:p>
        <a:p>
          <a:pPr marL="171450" indent="-171450">
            <a:buFont typeface="Arial" panose="020B0604020202020204" pitchFamily="34" charset="0"/>
            <a:buChar char="•"/>
          </a:pPr>
          <a:r>
            <a:rPr lang="pl-PL" sz="1200" b="0" i="0">
              <a:solidFill>
                <a:sysClr val="windowText" lastClr="000000"/>
              </a:solidFill>
              <a:effectLst/>
              <a:latin typeface="+mn-lt"/>
              <a:ea typeface="+mn-ea"/>
              <a:cs typeface="+mn-cs"/>
            </a:rPr>
            <a:t>Dropdown list depends on the chosen Category (only shows relevant exercises).</a:t>
          </a:r>
          <a:endParaRPr lang="en-US" sz="1200" b="0" i="0">
            <a:solidFill>
              <a:sysClr val="windowText" lastClr="000000"/>
            </a:solidFill>
            <a:effectLst/>
            <a:latin typeface="+mn-lt"/>
            <a:ea typeface="+mn-ea"/>
            <a:cs typeface="+mn-cs"/>
          </a:endParaRPr>
        </a:p>
        <a:p>
          <a:pPr marL="171450" indent="-171450">
            <a:buFont typeface="Arial" panose="020B0604020202020204" pitchFamily="34" charset="0"/>
            <a:buChar char="•"/>
          </a:pPr>
          <a:endParaRPr lang="pl-PL" sz="1200" b="0" i="0">
            <a:solidFill>
              <a:sysClr val="windowText" lastClr="000000"/>
            </a:solidFill>
            <a:effectLst/>
            <a:latin typeface="+mn-lt"/>
            <a:ea typeface="+mn-ea"/>
            <a:cs typeface="+mn-cs"/>
          </a:endParaRPr>
        </a:p>
        <a:p>
          <a:r>
            <a:rPr lang="en-BI" sz="1200" b="1" i="0">
              <a:solidFill>
                <a:sysClr val="windowText" lastClr="000000"/>
              </a:solidFill>
              <a:effectLst/>
              <a:latin typeface="+mn-lt"/>
              <a:ea typeface="+mn-ea"/>
              <a:cs typeface="+mn-cs"/>
            </a:rPr>
            <a:t>🔢 </a:t>
          </a:r>
          <a:r>
            <a:rPr lang="pl-PL" sz="1200" b="1" i="0">
              <a:solidFill>
                <a:sysClr val="windowText" lastClr="000000"/>
              </a:solidFill>
              <a:effectLst/>
              <a:latin typeface="+mn-lt"/>
              <a:ea typeface="+mn-ea"/>
              <a:cs typeface="+mn-cs"/>
            </a:rPr>
            <a:t>Sets &amp; Reps</a:t>
          </a:r>
        </a:p>
        <a:p>
          <a:pPr marL="171450" indent="-171450">
            <a:buFont typeface="Arial" panose="020B0604020202020204" pitchFamily="34" charset="0"/>
            <a:buChar char="•"/>
          </a:pPr>
          <a:r>
            <a:rPr lang="pl-PL" sz="1200" b="0" i="0">
              <a:solidFill>
                <a:sysClr val="windowText" lastClr="000000"/>
              </a:solidFill>
              <a:effectLst/>
              <a:latin typeface="+mn-lt"/>
              <a:ea typeface="+mn-ea"/>
              <a:cs typeface="+mn-cs"/>
            </a:rPr>
            <a:t>Enter the number of sets and reps performed.</a:t>
          </a:r>
          <a:endParaRPr lang="en-US" sz="1200" b="0" i="0">
            <a:solidFill>
              <a:sysClr val="windowText" lastClr="000000"/>
            </a:solidFill>
            <a:effectLst/>
            <a:latin typeface="+mn-lt"/>
            <a:ea typeface="+mn-ea"/>
            <a:cs typeface="+mn-cs"/>
          </a:endParaRPr>
        </a:p>
        <a:p>
          <a:pPr marL="171450" indent="-171450">
            <a:buFont typeface="Arial" panose="020B0604020202020204" pitchFamily="34" charset="0"/>
            <a:buChar char="•"/>
          </a:pPr>
          <a:endParaRPr lang="pl-PL" sz="1200" b="0" i="0">
            <a:solidFill>
              <a:sysClr val="windowText" lastClr="000000"/>
            </a:solidFill>
            <a:effectLst/>
            <a:latin typeface="+mn-lt"/>
            <a:ea typeface="+mn-ea"/>
            <a:cs typeface="+mn-cs"/>
          </a:endParaRPr>
        </a:p>
        <a:p>
          <a:r>
            <a:rPr lang="pl-PL" sz="1200" b="1" i="0">
              <a:solidFill>
                <a:sysClr val="windowText" lastClr="000000"/>
              </a:solidFill>
              <a:effectLst/>
              <a:latin typeface="+mn-lt"/>
              <a:ea typeface="+mn-ea"/>
              <a:cs typeface="+mn-cs"/>
            </a:rPr>
            <a:t>⏱ Duration</a:t>
          </a:r>
        </a:p>
        <a:p>
          <a:pPr marL="171450" indent="-171450">
            <a:buFont typeface="Arial" panose="020B0604020202020204" pitchFamily="34" charset="0"/>
            <a:buChar char="•"/>
          </a:pPr>
          <a:r>
            <a:rPr lang="pl-PL" sz="1200" b="0" i="0">
              <a:solidFill>
                <a:sysClr val="windowText" lastClr="000000"/>
              </a:solidFill>
              <a:effectLst/>
              <a:latin typeface="+mn-lt"/>
              <a:ea typeface="+mn-ea"/>
              <a:cs typeface="+mn-cs"/>
            </a:rPr>
            <a:t>Enter minutes spent on the exercise (useful for cardio).</a:t>
          </a:r>
          <a:endParaRPr lang="en-US" sz="1200" b="0" i="0">
            <a:solidFill>
              <a:sysClr val="windowText" lastClr="000000"/>
            </a:solidFill>
            <a:effectLst/>
            <a:latin typeface="+mn-lt"/>
            <a:ea typeface="+mn-ea"/>
            <a:cs typeface="+mn-cs"/>
          </a:endParaRPr>
        </a:p>
        <a:p>
          <a:pPr marL="171450" indent="-171450">
            <a:buFont typeface="Arial" panose="020B0604020202020204" pitchFamily="34" charset="0"/>
            <a:buChar char="•"/>
          </a:pPr>
          <a:endParaRPr lang="pl-PL" sz="1200" b="0" i="0">
            <a:solidFill>
              <a:sysClr val="windowText" lastClr="000000"/>
            </a:solidFill>
            <a:effectLst/>
            <a:latin typeface="+mn-lt"/>
            <a:ea typeface="+mn-ea"/>
            <a:cs typeface="+mn-cs"/>
          </a:endParaRPr>
        </a:p>
        <a:p>
          <a:r>
            <a:rPr lang="pl-PL" sz="1200" b="1" i="0">
              <a:solidFill>
                <a:sysClr val="windowText" lastClr="000000"/>
              </a:solidFill>
              <a:effectLst/>
              <a:latin typeface="+mn-lt"/>
              <a:ea typeface="+mn-ea"/>
              <a:cs typeface="+mn-cs"/>
            </a:rPr>
            <a:t>⚖️ Weight</a:t>
          </a:r>
        </a:p>
        <a:p>
          <a:pPr marL="171450" indent="-171450">
            <a:buFont typeface="Arial" panose="020B0604020202020204" pitchFamily="34" charset="0"/>
            <a:buChar char="•"/>
          </a:pPr>
          <a:r>
            <a:rPr lang="pl-PL" sz="1200" b="0" i="0">
              <a:solidFill>
                <a:sysClr val="windowText" lastClr="000000"/>
              </a:solidFill>
              <a:effectLst/>
              <a:latin typeface="+mn-lt"/>
              <a:ea typeface="+mn-ea"/>
              <a:cs typeface="+mn-cs"/>
            </a:rPr>
            <a:t>Your </a:t>
          </a:r>
          <a:r>
            <a:rPr lang="pl-PL" sz="1200" b="1" i="0">
              <a:solidFill>
                <a:sysClr val="windowText" lastClr="000000"/>
              </a:solidFill>
              <a:effectLst/>
              <a:latin typeface="+mn-lt"/>
              <a:ea typeface="+mn-ea"/>
              <a:cs typeface="+mn-cs"/>
            </a:rPr>
            <a:t>body weight</a:t>
          </a:r>
          <a:r>
            <a:rPr lang="pl-PL" sz="1200" b="0" i="0">
              <a:solidFill>
                <a:sysClr val="windowText" lastClr="000000"/>
              </a:solidFill>
              <a:effectLst/>
              <a:latin typeface="+mn-lt"/>
              <a:ea typeface="+mn-ea"/>
              <a:cs typeface="+mn-cs"/>
            </a:rPr>
            <a:t> is auto-fetched from the </a:t>
          </a:r>
          <a:r>
            <a:rPr lang="pl-PL" sz="1200" b="1" i="0">
              <a:solidFill>
                <a:sysClr val="windowText" lastClr="000000"/>
              </a:solidFill>
              <a:effectLst/>
              <a:latin typeface="+mn-lt"/>
              <a:ea typeface="+mn-ea"/>
              <a:cs typeface="+mn-cs"/>
            </a:rPr>
            <a:t>Body Measurement sheet</a:t>
          </a:r>
          <a:r>
            <a:rPr lang="pl-PL" sz="1200" b="0" i="0">
              <a:solidFill>
                <a:sysClr val="windowText" lastClr="000000"/>
              </a:solidFill>
              <a:effectLst/>
              <a:latin typeface="+mn-lt"/>
              <a:ea typeface="+mn-ea"/>
              <a:cs typeface="+mn-cs"/>
            </a:rPr>
            <a:t>, based on the selected Date.</a:t>
          </a:r>
        </a:p>
        <a:p>
          <a:r>
            <a:rPr lang="pl-PL" sz="1200" b="0" i="0">
              <a:solidFill>
                <a:sysClr val="windowText" lastClr="000000"/>
              </a:solidFill>
              <a:effectLst/>
              <a:latin typeface="+mn-lt"/>
              <a:ea typeface="+mn-ea"/>
              <a:cs typeface="+mn-cs"/>
            </a:rPr>
            <a:t>⚠️ Do not overwrite this value.</a:t>
          </a:r>
          <a:endParaRPr lang="en-US" sz="1200" b="0" i="0">
            <a:solidFill>
              <a:sysClr val="windowText" lastClr="000000"/>
            </a:solidFill>
            <a:effectLst/>
            <a:latin typeface="+mn-lt"/>
            <a:ea typeface="+mn-ea"/>
            <a:cs typeface="+mn-cs"/>
          </a:endParaRPr>
        </a:p>
        <a:p>
          <a:endParaRPr lang="pl-PL" sz="1200" b="0" i="0">
            <a:solidFill>
              <a:sysClr val="windowText" lastClr="000000"/>
            </a:solidFill>
            <a:effectLst/>
            <a:latin typeface="+mn-lt"/>
            <a:ea typeface="+mn-ea"/>
            <a:cs typeface="+mn-cs"/>
          </a:endParaRPr>
        </a:p>
        <a:p>
          <a:r>
            <a:rPr lang="en-BI" sz="1200" b="1" i="0">
              <a:solidFill>
                <a:sysClr val="windowText" lastClr="000000"/>
              </a:solidFill>
              <a:effectLst/>
              <a:latin typeface="+mn-lt"/>
              <a:ea typeface="+mn-ea"/>
              <a:cs typeface="+mn-cs"/>
            </a:rPr>
            <a:t>🔥 </a:t>
          </a:r>
          <a:r>
            <a:rPr lang="pl-PL" sz="1200" b="1" i="0">
              <a:solidFill>
                <a:sysClr val="windowText" lastClr="000000"/>
              </a:solidFill>
              <a:effectLst/>
              <a:latin typeface="+mn-lt"/>
              <a:ea typeface="+mn-ea"/>
              <a:cs typeface="+mn-cs"/>
            </a:rPr>
            <a:t>Calories Burned</a:t>
          </a:r>
        </a:p>
        <a:p>
          <a:pPr marL="171450" indent="-171450">
            <a:buFont typeface="Arial" panose="020B0604020202020204" pitchFamily="34" charset="0"/>
            <a:buChar char="•"/>
          </a:pPr>
          <a:r>
            <a:rPr lang="pl-PL" sz="1200" b="0" i="0">
              <a:solidFill>
                <a:sysClr val="windowText" lastClr="000000"/>
              </a:solidFill>
              <a:effectLst/>
              <a:latin typeface="+mn-lt"/>
              <a:ea typeface="+mn-ea"/>
              <a:cs typeface="+mn-cs"/>
            </a:rPr>
            <a:t>Automatically calculated using the formula</a:t>
          </a:r>
          <a:r>
            <a:rPr lang="en-US" sz="1200" b="0" i="0">
              <a:solidFill>
                <a:sysClr val="windowText" lastClr="000000"/>
              </a:solidFill>
              <a:effectLst/>
              <a:latin typeface="+mn-lt"/>
              <a:ea typeface="+mn-ea"/>
              <a:cs typeface="+mn-cs"/>
            </a:rPr>
            <a:t>.</a:t>
          </a:r>
          <a:endParaRPr lang="pl-PL" sz="1200" b="0" i="0">
            <a:solidFill>
              <a:sysClr val="windowText" lastClr="000000"/>
            </a:solidFill>
            <a:effectLst/>
            <a:latin typeface="+mn-lt"/>
            <a:ea typeface="+mn-ea"/>
            <a:cs typeface="+mn-cs"/>
          </a:endParaRPr>
        </a:p>
        <a:p>
          <a:pPr marL="171450" indent="-171450">
            <a:buFont typeface="Arial" panose="020B0604020202020204" pitchFamily="34" charset="0"/>
            <a:buChar char="•"/>
          </a:pPr>
          <a:r>
            <a:rPr lang="pl-PL" sz="1200" b="0" i="0">
              <a:solidFill>
                <a:sysClr val="windowText" lastClr="000000"/>
              </a:solidFill>
              <a:effectLst/>
              <a:latin typeface="+mn-lt"/>
              <a:ea typeface="+mn-ea"/>
              <a:cs typeface="+mn-cs"/>
            </a:rPr>
            <a:t>You don’t need to enter anything here.</a:t>
          </a:r>
          <a:endParaRPr lang="en-US" sz="1200" b="0" i="0">
            <a:solidFill>
              <a:sysClr val="windowText" lastClr="000000"/>
            </a:solidFill>
            <a:effectLst/>
            <a:latin typeface="+mn-lt"/>
            <a:ea typeface="+mn-ea"/>
            <a:cs typeface="+mn-cs"/>
          </a:endParaRPr>
        </a:p>
        <a:p>
          <a:pPr marL="171450" indent="-171450">
            <a:buFont typeface="Arial" panose="020B0604020202020204" pitchFamily="34" charset="0"/>
            <a:buChar char="•"/>
          </a:pPr>
          <a:endParaRPr lang="pl-PL" sz="1200" b="0" i="0">
            <a:solidFill>
              <a:sysClr val="windowText" lastClr="000000"/>
            </a:solidFill>
            <a:effectLst/>
            <a:latin typeface="+mn-lt"/>
            <a:ea typeface="+mn-ea"/>
            <a:cs typeface="+mn-cs"/>
          </a:endParaRPr>
        </a:p>
        <a:p>
          <a:r>
            <a:rPr lang="en-BI" sz="1200" b="1" i="0">
              <a:solidFill>
                <a:sysClr val="windowText" lastClr="000000"/>
              </a:solidFill>
              <a:effectLst/>
              <a:latin typeface="+mn-lt"/>
              <a:ea typeface="+mn-ea"/>
              <a:cs typeface="+mn-cs"/>
            </a:rPr>
            <a:t>🗒 </a:t>
          </a:r>
          <a:r>
            <a:rPr lang="pl-PL" sz="1200" b="1" i="0">
              <a:solidFill>
                <a:sysClr val="windowText" lastClr="000000"/>
              </a:solidFill>
              <a:effectLst/>
              <a:latin typeface="+mn-lt"/>
              <a:ea typeface="+mn-ea"/>
              <a:cs typeface="+mn-cs"/>
            </a:rPr>
            <a:t>Notes</a:t>
          </a:r>
        </a:p>
        <a:p>
          <a:pPr marL="171450" indent="-171450">
            <a:buFont typeface="Arial" panose="020B0604020202020204" pitchFamily="34" charset="0"/>
            <a:buChar char="•"/>
          </a:pPr>
          <a:r>
            <a:rPr lang="pl-PL" sz="1200" b="0" i="0">
              <a:solidFill>
                <a:sysClr val="windowText" lastClr="000000"/>
              </a:solidFill>
              <a:effectLst/>
              <a:latin typeface="+mn-lt"/>
              <a:ea typeface="+mn-ea"/>
              <a:cs typeface="+mn-cs"/>
            </a:rPr>
            <a:t>Free text: Add any workout details, feelings, or progress.</a:t>
          </a:r>
          <a:endParaRPr lang="en-US" sz="1200" b="0" i="0">
            <a:solidFill>
              <a:sysClr val="windowText" lastClr="000000"/>
            </a:solidFill>
            <a:effectLst/>
            <a:latin typeface="+mn-lt"/>
            <a:ea typeface="+mn-ea"/>
            <a:cs typeface="+mn-cs"/>
          </a:endParaRPr>
        </a:p>
        <a:p>
          <a:pPr marL="171450" indent="-171450">
            <a:buFont typeface="Arial" panose="020B0604020202020204" pitchFamily="34" charset="0"/>
            <a:buChar char="•"/>
          </a:pPr>
          <a:endParaRPr lang="pl-PL" sz="1200" b="0" i="0">
            <a:solidFill>
              <a:sysClr val="windowText" lastClr="000000"/>
            </a:solidFill>
            <a:effectLst/>
            <a:latin typeface="+mn-lt"/>
            <a:ea typeface="+mn-ea"/>
            <a:cs typeface="+mn-cs"/>
          </a:endParaRPr>
        </a:p>
        <a:p>
          <a:r>
            <a:rPr lang="en-BI" sz="1200" b="1" i="0">
              <a:solidFill>
                <a:sysClr val="windowText" lastClr="000000"/>
              </a:solidFill>
              <a:effectLst/>
              <a:latin typeface="+mn-lt"/>
              <a:ea typeface="+mn-ea"/>
              <a:cs typeface="+mn-cs"/>
            </a:rPr>
            <a:t>🎨 </a:t>
          </a:r>
          <a:r>
            <a:rPr lang="pl-PL" sz="1200" b="1" i="0">
              <a:solidFill>
                <a:sysClr val="windowText" lastClr="000000"/>
              </a:solidFill>
              <a:effectLst/>
              <a:latin typeface="+mn-lt"/>
              <a:ea typeface="+mn-ea"/>
              <a:cs typeface="+mn-cs"/>
            </a:rPr>
            <a:t>Conditional Formatting</a:t>
          </a:r>
        </a:p>
        <a:p>
          <a:pPr marL="171450" indent="-171450">
            <a:buFont typeface="Arial" panose="020B0604020202020204" pitchFamily="34" charset="0"/>
            <a:buChar char="•"/>
          </a:pPr>
          <a:r>
            <a:rPr lang="pl-PL" sz="1200" b="0" i="0">
              <a:solidFill>
                <a:sysClr val="windowText" lastClr="000000"/>
              </a:solidFill>
              <a:effectLst/>
              <a:latin typeface="+mn-lt"/>
              <a:ea typeface="+mn-ea"/>
              <a:cs typeface="+mn-cs"/>
            </a:rPr>
            <a:t>There’s a cell at the top where you </a:t>
          </a:r>
          <a:r>
            <a:rPr lang="pl-PL" sz="1200" b="1" i="0">
              <a:solidFill>
                <a:sysClr val="windowText" lastClr="000000"/>
              </a:solidFill>
              <a:effectLst/>
              <a:latin typeface="+mn-lt"/>
              <a:ea typeface="+mn-ea"/>
              <a:cs typeface="+mn-cs"/>
            </a:rPr>
            <a:t>set your Daily Calorie Target</a:t>
          </a:r>
          <a:r>
            <a:rPr lang="pl-PL" sz="1200" b="0" i="0">
              <a:solidFill>
                <a:sysClr val="windowText" lastClr="000000"/>
              </a:solidFill>
              <a:effectLst/>
              <a:latin typeface="+mn-lt"/>
              <a:ea typeface="+mn-ea"/>
              <a:cs typeface="+mn-cs"/>
            </a:rPr>
            <a:t> (e.g., 500 kcal).</a:t>
          </a:r>
        </a:p>
        <a:p>
          <a:pPr marL="171450" indent="-171450">
            <a:buFont typeface="Arial" panose="020B0604020202020204" pitchFamily="34" charset="0"/>
            <a:buChar char="•"/>
          </a:pPr>
          <a:r>
            <a:rPr lang="pl-PL" sz="1200" b="0" i="0">
              <a:solidFill>
                <a:sysClr val="windowText" lastClr="000000"/>
              </a:solidFill>
              <a:effectLst/>
              <a:latin typeface="+mn-lt"/>
              <a:ea typeface="+mn-ea"/>
              <a:cs typeface="+mn-cs"/>
            </a:rPr>
            <a:t>Each workout row will highlight:</a:t>
          </a:r>
        </a:p>
        <a:p>
          <a:pPr marL="628650" lvl="1" indent="-171450">
            <a:buFont typeface="Courier New" panose="02070309020205020404" pitchFamily="49" charset="0"/>
            <a:buChar char="o"/>
          </a:pPr>
          <a:r>
            <a:rPr lang="pl-PL" sz="1200" b="1" i="0">
              <a:solidFill>
                <a:sysClr val="windowText" lastClr="000000"/>
              </a:solidFill>
              <a:effectLst/>
              <a:latin typeface="+mn-lt"/>
              <a:ea typeface="+mn-ea"/>
              <a:cs typeface="+mn-cs"/>
            </a:rPr>
            <a:t>Red</a:t>
          </a:r>
          <a:r>
            <a:rPr lang="pl-PL" sz="1200" b="0" i="0">
              <a:solidFill>
                <a:sysClr val="windowText" lastClr="000000"/>
              </a:solidFill>
              <a:effectLst/>
              <a:latin typeface="+mn-lt"/>
              <a:ea typeface="+mn-ea"/>
              <a:cs typeface="+mn-cs"/>
            </a:rPr>
            <a:t> </a:t>
          </a:r>
          <a:r>
            <a:rPr lang="en-BI" sz="1200" b="0" i="0">
              <a:solidFill>
                <a:sysClr val="windowText" lastClr="000000"/>
              </a:solidFill>
              <a:effectLst/>
              <a:latin typeface="+mn-lt"/>
              <a:ea typeface="+mn-ea"/>
              <a:cs typeface="+mn-cs"/>
            </a:rPr>
            <a:t>🔴 → </a:t>
          </a:r>
          <a:r>
            <a:rPr lang="pl-PL" sz="1200" b="0" i="0">
              <a:solidFill>
                <a:sysClr val="windowText" lastClr="000000"/>
              </a:solidFill>
              <a:effectLst/>
              <a:latin typeface="+mn-lt"/>
              <a:ea typeface="+mn-ea"/>
              <a:cs typeface="+mn-cs"/>
            </a:rPr>
            <a:t>Calories burned are </a:t>
          </a:r>
          <a:r>
            <a:rPr lang="pl-PL" sz="1200" b="1" i="0">
              <a:solidFill>
                <a:sysClr val="windowText" lastClr="000000"/>
              </a:solidFill>
              <a:effectLst/>
              <a:latin typeface="+mn-lt"/>
              <a:ea typeface="+mn-ea"/>
              <a:cs typeface="+mn-cs"/>
            </a:rPr>
            <a:t>less than target</a:t>
          </a:r>
          <a:endParaRPr lang="pl-PL" sz="1200" b="0" i="0">
            <a:solidFill>
              <a:sysClr val="windowText" lastClr="000000"/>
            </a:solidFill>
            <a:effectLst/>
            <a:latin typeface="+mn-lt"/>
            <a:ea typeface="+mn-ea"/>
            <a:cs typeface="+mn-cs"/>
          </a:endParaRPr>
        </a:p>
        <a:p>
          <a:pPr marL="628650" lvl="1" indent="-171450">
            <a:buFont typeface="Courier New" panose="02070309020205020404" pitchFamily="49" charset="0"/>
            <a:buChar char="o"/>
          </a:pPr>
          <a:r>
            <a:rPr lang="pl-PL" sz="1200" b="1" i="0">
              <a:solidFill>
                <a:sysClr val="windowText" lastClr="000000"/>
              </a:solidFill>
              <a:effectLst/>
              <a:latin typeface="+mn-lt"/>
              <a:ea typeface="+mn-ea"/>
              <a:cs typeface="+mn-cs"/>
            </a:rPr>
            <a:t>Yellow/OK</a:t>
          </a:r>
          <a:r>
            <a:rPr lang="pl-PL" sz="1200" b="0" i="0">
              <a:solidFill>
                <a:sysClr val="windowText" lastClr="000000"/>
              </a:solidFill>
              <a:effectLst/>
              <a:latin typeface="+mn-lt"/>
              <a:ea typeface="+mn-ea"/>
              <a:cs typeface="+mn-cs"/>
            </a:rPr>
            <a:t> </a:t>
          </a:r>
          <a:r>
            <a:rPr lang="en-BI" sz="1200" b="0" i="0">
              <a:solidFill>
                <a:sysClr val="windowText" lastClr="000000"/>
              </a:solidFill>
              <a:effectLst/>
              <a:latin typeface="+mn-lt"/>
              <a:ea typeface="+mn-ea"/>
              <a:cs typeface="+mn-cs"/>
            </a:rPr>
            <a:t>🟡 → </a:t>
          </a:r>
          <a:r>
            <a:rPr lang="pl-PL" sz="1200" b="0" i="0">
              <a:solidFill>
                <a:sysClr val="windowText" lastClr="000000"/>
              </a:solidFill>
              <a:effectLst/>
              <a:latin typeface="+mn-lt"/>
              <a:ea typeface="+mn-ea"/>
              <a:cs typeface="+mn-cs"/>
            </a:rPr>
            <a:t>Calories burned are </a:t>
          </a:r>
          <a:r>
            <a:rPr lang="pl-PL" sz="1200" b="1" i="0">
              <a:solidFill>
                <a:sysClr val="windowText" lastClr="000000"/>
              </a:solidFill>
              <a:effectLst/>
              <a:latin typeface="+mn-lt"/>
              <a:ea typeface="+mn-ea"/>
              <a:cs typeface="+mn-cs"/>
            </a:rPr>
            <a:t>within range</a:t>
          </a:r>
          <a:endParaRPr lang="pl-PL" sz="1200" b="0" i="0">
            <a:solidFill>
              <a:sysClr val="windowText" lastClr="000000"/>
            </a:solidFill>
            <a:effectLst/>
            <a:latin typeface="+mn-lt"/>
            <a:ea typeface="+mn-ea"/>
            <a:cs typeface="+mn-cs"/>
          </a:endParaRPr>
        </a:p>
        <a:p>
          <a:pPr marL="628650" lvl="1" indent="-171450">
            <a:buFont typeface="Courier New" panose="02070309020205020404" pitchFamily="49" charset="0"/>
            <a:buChar char="o"/>
          </a:pPr>
          <a:r>
            <a:rPr lang="pl-PL" sz="1200" b="1" i="0">
              <a:solidFill>
                <a:sysClr val="windowText" lastClr="000000"/>
              </a:solidFill>
              <a:effectLst/>
              <a:latin typeface="+mn-lt"/>
              <a:ea typeface="+mn-ea"/>
              <a:cs typeface="+mn-cs"/>
            </a:rPr>
            <a:t>Green</a:t>
          </a:r>
          <a:r>
            <a:rPr lang="pl-PL" sz="1200" b="0" i="0">
              <a:solidFill>
                <a:sysClr val="windowText" lastClr="000000"/>
              </a:solidFill>
              <a:effectLst/>
              <a:latin typeface="+mn-lt"/>
              <a:ea typeface="+mn-ea"/>
              <a:cs typeface="+mn-cs"/>
            </a:rPr>
            <a:t> </a:t>
          </a:r>
          <a:r>
            <a:rPr lang="en-BI" sz="1200" b="0" i="0">
              <a:solidFill>
                <a:sysClr val="windowText" lastClr="000000"/>
              </a:solidFill>
              <a:effectLst/>
              <a:latin typeface="+mn-lt"/>
              <a:ea typeface="+mn-ea"/>
              <a:cs typeface="+mn-cs"/>
            </a:rPr>
            <a:t>🟢 → </a:t>
          </a:r>
          <a:r>
            <a:rPr lang="pl-PL" sz="1200" b="0" i="0">
              <a:solidFill>
                <a:sysClr val="windowText" lastClr="000000"/>
              </a:solidFill>
              <a:effectLst/>
              <a:latin typeface="+mn-lt"/>
              <a:ea typeface="+mn-ea"/>
              <a:cs typeface="+mn-cs"/>
            </a:rPr>
            <a:t>Calories burned are </a:t>
          </a:r>
          <a:r>
            <a:rPr lang="pl-PL" sz="1200" b="1" i="0">
              <a:solidFill>
                <a:sysClr val="windowText" lastClr="000000"/>
              </a:solidFill>
              <a:effectLst/>
              <a:latin typeface="+mn-lt"/>
              <a:ea typeface="+mn-ea"/>
              <a:cs typeface="+mn-cs"/>
            </a:rPr>
            <a:t>above target</a:t>
          </a:r>
          <a:endParaRPr lang="pl-PL" sz="1200" b="0" i="0">
            <a:solidFill>
              <a:sysClr val="windowText" lastClr="000000"/>
            </a:solidFill>
            <a:effectLst/>
            <a:latin typeface="+mn-lt"/>
            <a:ea typeface="+mn-ea"/>
            <a:cs typeface="+mn-cs"/>
          </a:endParaRPr>
        </a:p>
        <a:p>
          <a:r>
            <a:rPr lang="en-BI" sz="1200" b="0" i="0">
              <a:solidFill>
                <a:sysClr val="windowText" lastClr="000000"/>
              </a:solidFill>
              <a:effectLst/>
              <a:latin typeface="+mn-lt"/>
              <a:ea typeface="+mn-ea"/>
              <a:cs typeface="+mn-cs"/>
            </a:rPr>
            <a:t>✅ </a:t>
          </a:r>
          <a:r>
            <a:rPr lang="pl-PL" sz="1200" b="1" i="0">
              <a:solidFill>
                <a:sysClr val="windowText" lastClr="000000"/>
              </a:solidFill>
              <a:effectLst/>
              <a:latin typeface="+mn-lt"/>
              <a:ea typeface="+mn-ea"/>
              <a:cs typeface="+mn-cs"/>
            </a:rPr>
            <a:t>Tip:</a:t>
          </a:r>
          <a:r>
            <a:rPr lang="pl-PL" sz="1200" b="0" i="0">
              <a:solidFill>
                <a:sysClr val="windowText" lastClr="000000"/>
              </a:solidFill>
              <a:effectLst/>
              <a:latin typeface="+mn-lt"/>
              <a:ea typeface="+mn-ea"/>
              <a:cs typeface="+mn-cs"/>
            </a:rPr>
            <a:t> Always start by entering the Date → Category → Exercise → Sets/Reps/Duration. Everything else will auto-update.</a:t>
          </a:r>
        </a:p>
        <a:p>
          <a:pPr lvl="1"/>
          <a:endParaRPr lang="pl-PL" sz="1400" b="0" i="0">
            <a:solidFill>
              <a:sysClr val="windowText" lastClr="000000"/>
            </a:solidFill>
            <a:effectLst/>
            <a:latin typeface="+mn-lt"/>
            <a:ea typeface="+mn-ea"/>
            <a:cs typeface="+mn-cs"/>
          </a:endParaRPr>
        </a:p>
      </xdr:txBody>
    </xdr:sp>
    <xdr:clientData/>
  </xdr:twoCellAnchor>
  <xdr:twoCellAnchor>
    <xdr:from>
      <xdr:col>3</xdr:col>
      <xdr:colOff>11430</xdr:colOff>
      <xdr:row>67</xdr:row>
      <xdr:rowOff>53340</xdr:rowOff>
    </xdr:from>
    <xdr:to>
      <xdr:col>12</xdr:col>
      <xdr:colOff>285750</xdr:colOff>
      <xdr:row>104</xdr:row>
      <xdr:rowOff>152400</xdr:rowOff>
    </xdr:to>
    <xdr:sp macro="" textlink="">
      <xdr:nvSpPr>
        <xdr:cNvPr id="6" name="Rectangle 5">
          <a:extLst>
            <a:ext uri="{FF2B5EF4-FFF2-40B4-BE49-F238E27FC236}">
              <a16:creationId xmlns:a16="http://schemas.microsoft.com/office/drawing/2014/main" id="{2946A816-5980-48B9-9473-A69BD85F2A7F}"/>
            </a:ext>
          </a:extLst>
        </xdr:cNvPr>
        <xdr:cNvSpPr/>
      </xdr:nvSpPr>
      <xdr:spPr>
        <a:xfrm>
          <a:off x="2011680" y="11807190"/>
          <a:ext cx="6275070" cy="6442710"/>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BI" sz="1400" b="1" i="0">
              <a:solidFill>
                <a:sysClr val="windowText" lastClr="000000"/>
              </a:solidFill>
              <a:effectLst/>
              <a:latin typeface="+mn-lt"/>
              <a:ea typeface="+mn-ea"/>
              <a:cs typeface="+mn-cs"/>
            </a:rPr>
            <a:t>📏 </a:t>
          </a:r>
          <a:r>
            <a:rPr lang="pl-PL" sz="1400" b="1" i="0">
              <a:solidFill>
                <a:sysClr val="windowText" lastClr="000000"/>
              </a:solidFill>
              <a:effectLst/>
              <a:latin typeface="+mn-lt"/>
              <a:ea typeface="+mn-ea"/>
              <a:cs typeface="+mn-cs"/>
            </a:rPr>
            <a:t>Body Measurement</a:t>
          </a:r>
          <a:r>
            <a:rPr lang="en-US" sz="1400" b="1" i="0">
              <a:solidFill>
                <a:sysClr val="windowText" lastClr="000000"/>
              </a:solidFill>
              <a:effectLst/>
              <a:latin typeface="+mn-lt"/>
              <a:ea typeface="+mn-ea"/>
              <a:cs typeface="+mn-cs"/>
            </a:rPr>
            <a:t>s Log</a:t>
          </a:r>
          <a:r>
            <a:rPr lang="pl-PL" sz="1400" b="1" i="0">
              <a:solidFill>
                <a:sysClr val="windowText" lastClr="000000"/>
              </a:solidFill>
              <a:effectLst/>
              <a:latin typeface="+mn-lt"/>
              <a:ea typeface="+mn-ea"/>
              <a:cs typeface="+mn-cs"/>
            </a:rPr>
            <a:t> – Instructions</a:t>
          </a:r>
          <a:endParaRPr lang="en-US" sz="1400" b="1" i="0">
            <a:solidFill>
              <a:sysClr val="windowText" lastClr="000000"/>
            </a:solidFill>
            <a:effectLst/>
            <a:latin typeface="+mn-lt"/>
            <a:ea typeface="+mn-ea"/>
            <a:cs typeface="+mn-cs"/>
          </a:endParaRPr>
        </a:p>
        <a:p>
          <a:endParaRPr lang="pl-PL" sz="1200" b="1" i="0">
            <a:solidFill>
              <a:sysClr val="windowText" lastClr="000000"/>
            </a:solidFill>
            <a:effectLst/>
            <a:latin typeface="+mn-lt"/>
            <a:ea typeface="+mn-ea"/>
            <a:cs typeface="+mn-cs"/>
          </a:endParaRPr>
        </a:p>
        <a:p>
          <a:r>
            <a:rPr lang="en-BI" sz="1200" b="1" i="0">
              <a:solidFill>
                <a:sysClr val="windowText" lastClr="000000"/>
              </a:solidFill>
              <a:effectLst/>
              <a:latin typeface="+mn-lt"/>
              <a:ea typeface="+mn-ea"/>
              <a:cs typeface="+mn-cs"/>
            </a:rPr>
            <a:t>📅 </a:t>
          </a:r>
          <a:r>
            <a:rPr lang="pl-PL" sz="1200" b="1" i="0">
              <a:solidFill>
                <a:sysClr val="windowText" lastClr="000000"/>
              </a:solidFill>
              <a:effectLst/>
              <a:latin typeface="+mn-lt"/>
              <a:ea typeface="+mn-ea"/>
              <a:cs typeface="+mn-cs"/>
            </a:rPr>
            <a:t>Date</a:t>
          </a:r>
        </a:p>
        <a:p>
          <a:pPr marL="171450" indent="-171450">
            <a:buFont typeface="Arial" panose="020B0604020202020204" pitchFamily="34" charset="0"/>
            <a:buChar char="•"/>
          </a:pPr>
          <a:r>
            <a:rPr lang="pl-PL" sz="1200" b="0" i="0">
              <a:solidFill>
                <a:sysClr val="windowText" lastClr="000000"/>
              </a:solidFill>
              <a:effectLst/>
              <a:latin typeface="+mn-lt"/>
              <a:ea typeface="+mn-ea"/>
              <a:cs typeface="+mn-cs"/>
            </a:rPr>
            <a:t>Click the cell → A </a:t>
          </a:r>
          <a:r>
            <a:rPr lang="pl-PL" sz="1200" b="1" i="0">
              <a:solidFill>
                <a:sysClr val="windowText" lastClr="000000"/>
              </a:solidFill>
              <a:effectLst/>
              <a:latin typeface="+mn-lt"/>
              <a:ea typeface="+mn-ea"/>
              <a:cs typeface="+mn-cs"/>
            </a:rPr>
            <a:t>calendar pops up (VBA)</a:t>
          </a:r>
          <a:r>
            <a:rPr lang="pl-PL" sz="1200" b="0" i="0">
              <a:solidFill>
                <a:sysClr val="windowText" lastClr="000000"/>
              </a:solidFill>
              <a:effectLst/>
              <a:latin typeface="+mn-lt"/>
              <a:ea typeface="+mn-ea"/>
              <a:cs typeface="+mn-cs"/>
            </a:rPr>
            <a:t> to select the measurement date.</a:t>
          </a:r>
        </a:p>
        <a:p>
          <a:pPr marL="171450" indent="-171450">
            <a:buFont typeface="Arial" panose="020B0604020202020204" pitchFamily="34" charset="0"/>
            <a:buChar char="•"/>
          </a:pPr>
          <a:r>
            <a:rPr lang="pl-PL" sz="1200" b="0" i="0">
              <a:solidFill>
                <a:sysClr val="windowText" lastClr="000000"/>
              </a:solidFill>
              <a:effectLst/>
              <a:latin typeface="+mn-lt"/>
              <a:ea typeface="+mn-ea"/>
              <a:cs typeface="+mn-cs"/>
            </a:rPr>
            <a:t>Use the same date as your workout log to sync data correctly.</a:t>
          </a:r>
          <a:endParaRPr lang="en-US" sz="1200" b="0" i="0">
            <a:solidFill>
              <a:sysClr val="windowText" lastClr="000000"/>
            </a:solidFill>
            <a:effectLst/>
            <a:latin typeface="+mn-lt"/>
            <a:ea typeface="+mn-ea"/>
            <a:cs typeface="+mn-cs"/>
          </a:endParaRPr>
        </a:p>
        <a:p>
          <a:endParaRPr lang="pl-PL" sz="1200" b="0" i="0">
            <a:solidFill>
              <a:sysClr val="windowText" lastClr="000000"/>
            </a:solidFill>
            <a:effectLst/>
            <a:latin typeface="+mn-lt"/>
            <a:ea typeface="+mn-ea"/>
            <a:cs typeface="+mn-cs"/>
          </a:endParaRPr>
        </a:p>
        <a:p>
          <a:r>
            <a:rPr lang="en-BI" sz="1200" b="1" i="0">
              <a:solidFill>
                <a:sysClr val="windowText" lastClr="000000"/>
              </a:solidFill>
              <a:effectLst/>
              <a:latin typeface="+mn-lt"/>
              <a:ea typeface="+mn-ea"/>
              <a:cs typeface="+mn-cs"/>
            </a:rPr>
            <a:t>📐 </a:t>
          </a:r>
          <a:r>
            <a:rPr lang="pl-PL" sz="1200" b="1" i="0">
              <a:solidFill>
                <a:sysClr val="windowText" lastClr="000000"/>
              </a:solidFill>
              <a:effectLst/>
              <a:latin typeface="+mn-lt"/>
              <a:ea typeface="+mn-ea"/>
              <a:cs typeface="+mn-cs"/>
            </a:rPr>
            <a:t>Height</a:t>
          </a:r>
        </a:p>
        <a:p>
          <a:pPr marL="171450" indent="-171450">
            <a:buFont typeface="Arial" panose="020B0604020202020204" pitchFamily="34" charset="0"/>
            <a:buChar char="•"/>
          </a:pPr>
          <a:r>
            <a:rPr lang="pl-PL" sz="1200" b="0" i="0">
              <a:solidFill>
                <a:sysClr val="windowText" lastClr="000000"/>
              </a:solidFill>
              <a:effectLst/>
              <a:latin typeface="+mn-lt"/>
              <a:ea typeface="+mn-ea"/>
              <a:cs typeface="+mn-cs"/>
            </a:rPr>
            <a:t>Enter your </a:t>
          </a:r>
          <a:r>
            <a:rPr lang="pl-PL" sz="1200" b="1" i="0">
              <a:solidFill>
                <a:sysClr val="windowText" lastClr="000000"/>
              </a:solidFill>
              <a:effectLst/>
              <a:latin typeface="+mn-lt"/>
              <a:ea typeface="+mn-ea"/>
              <a:cs typeface="+mn-cs"/>
            </a:rPr>
            <a:t>height once</a:t>
          </a:r>
          <a:r>
            <a:rPr lang="pl-PL" sz="1200" b="0" i="0">
              <a:solidFill>
                <a:sysClr val="windowText" lastClr="000000"/>
              </a:solidFill>
              <a:effectLst/>
              <a:latin typeface="+mn-lt"/>
              <a:ea typeface="+mn-ea"/>
              <a:cs typeface="+mn-cs"/>
            </a:rPr>
            <a:t> in the dedicated cell at the top (in cm).</a:t>
          </a:r>
        </a:p>
        <a:p>
          <a:pPr marL="171450" indent="-171450">
            <a:buFont typeface="Arial" panose="020B0604020202020204" pitchFamily="34" charset="0"/>
            <a:buChar char="•"/>
          </a:pPr>
          <a:r>
            <a:rPr lang="pl-PL" sz="1200" b="0" i="0">
              <a:solidFill>
                <a:sysClr val="windowText" lastClr="000000"/>
              </a:solidFill>
              <a:effectLst/>
              <a:latin typeface="+mn-lt"/>
              <a:ea typeface="+mn-ea"/>
              <a:cs typeface="+mn-cs"/>
            </a:rPr>
            <a:t>This value will be used automatically for BMI calculations.</a:t>
          </a:r>
          <a:endParaRPr lang="en-US" sz="1200" b="0" i="0">
            <a:solidFill>
              <a:sysClr val="windowText" lastClr="000000"/>
            </a:solidFill>
            <a:effectLst/>
            <a:latin typeface="+mn-lt"/>
            <a:ea typeface="+mn-ea"/>
            <a:cs typeface="+mn-cs"/>
          </a:endParaRPr>
        </a:p>
        <a:p>
          <a:endParaRPr lang="pl-PL" sz="1200" b="0" i="0">
            <a:solidFill>
              <a:sysClr val="windowText" lastClr="000000"/>
            </a:solidFill>
            <a:effectLst/>
            <a:latin typeface="+mn-lt"/>
            <a:ea typeface="+mn-ea"/>
            <a:cs typeface="+mn-cs"/>
          </a:endParaRPr>
        </a:p>
        <a:p>
          <a:r>
            <a:rPr lang="pl-PL" sz="1200" b="1" i="0">
              <a:solidFill>
                <a:sysClr val="windowText" lastClr="000000"/>
              </a:solidFill>
              <a:effectLst/>
              <a:latin typeface="+mn-lt"/>
              <a:ea typeface="+mn-ea"/>
              <a:cs typeface="+mn-cs"/>
            </a:rPr>
            <a:t>⚖️ Weight</a:t>
          </a:r>
        </a:p>
        <a:p>
          <a:pPr marL="171450" indent="-171450">
            <a:buFont typeface="Arial" panose="020B0604020202020204" pitchFamily="34" charset="0"/>
            <a:buChar char="•"/>
          </a:pPr>
          <a:r>
            <a:rPr lang="pl-PL" sz="1200" b="0" i="0">
              <a:solidFill>
                <a:sysClr val="windowText" lastClr="000000"/>
              </a:solidFill>
              <a:effectLst/>
              <a:latin typeface="+mn-lt"/>
              <a:ea typeface="+mn-ea"/>
              <a:cs typeface="+mn-cs"/>
            </a:rPr>
            <a:t>Enter your </a:t>
          </a:r>
          <a:r>
            <a:rPr lang="pl-PL" sz="1200" b="1" i="0">
              <a:solidFill>
                <a:sysClr val="windowText" lastClr="000000"/>
              </a:solidFill>
              <a:effectLst/>
              <a:latin typeface="+mn-lt"/>
              <a:ea typeface="+mn-ea"/>
              <a:cs typeface="+mn-cs"/>
            </a:rPr>
            <a:t>current weight</a:t>
          </a:r>
          <a:r>
            <a:rPr lang="pl-PL" sz="1200" b="0" i="0">
              <a:solidFill>
                <a:sysClr val="windowText" lastClr="000000"/>
              </a:solidFill>
              <a:effectLst/>
              <a:latin typeface="+mn-lt"/>
              <a:ea typeface="+mn-ea"/>
              <a:cs typeface="+mn-cs"/>
            </a:rPr>
            <a:t> (kg).</a:t>
          </a:r>
        </a:p>
        <a:p>
          <a:pPr marL="171450" indent="-171450">
            <a:buFont typeface="Arial" panose="020B0604020202020204" pitchFamily="34" charset="0"/>
            <a:buChar char="•"/>
          </a:pPr>
          <a:r>
            <a:rPr lang="pl-PL" sz="1200" b="0" i="0">
              <a:solidFill>
                <a:sysClr val="windowText" lastClr="000000"/>
              </a:solidFill>
              <a:effectLst/>
              <a:latin typeface="+mn-lt"/>
              <a:ea typeface="+mn-ea"/>
              <a:cs typeface="+mn-cs"/>
            </a:rPr>
            <a:t>This weight will also be fetched into the Workout Log for calorie calculations.</a:t>
          </a:r>
          <a:endParaRPr lang="en-US" sz="1200" b="0" i="0">
            <a:solidFill>
              <a:sysClr val="windowText" lastClr="000000"/>
            </a:solidFill>
            <a:effectLst/>
            <a:latin typeface="+mn-lt"/>
            <a:ea typeface="+mn-ea"/>
            <a:cs typeface="+mn-cs"/>
          </a:endParaRPr>
        </a:p>
        <a:p>
          <a:endParaRPr lang="pl-PL" sz="1200" b="0" i="0">
            <a:solidFill>
              <a:sysClr val="windowText" lastClr="000000"/>
            </a:solidFill>
            <a:effectLst/>
            <a:latin typeface="+mn-lt"/>
            <a:ea typeface="+mn-ea"/>
            <a:cs typeface="+mn-cs"/>
          </a:endParaRPr>
        </a:p>
        <a:p>
          <a:r>
            <a:rPr lang="en-BI" sz="1200" b="1" i="0">
              <a:solidFill>
                <a:sysClr val="windowText" lastClr="000000"/>
              </a:solidFill>
              <a:effectLst/>
              <a:latin typeface="+mn-lt"/>
              <a:ea typeface="+mn-ea"/>
              <a:cs typeface="+mn-cs"/>
            </a:rPr>
            <a:t>🏃 </a:t>
          </a:r>
          <a:r>
            <a:rPr lang="pl-PL" sz="1200" b="1" i="0">
              <a:solidFill>
                <a:sysClr val="windowText" lastClr="000000"/>
              </a:solidFill>
              <a:effectLst/>
              <a:latin typeface="+mn-lt"/>
              <a:ea typeface="+mn-ea"/>
              <a:cs typeface="+mn-cs"/>
            </a:rPr>
            <a:t>Body Measurements</a:t>
          </a:r>
        </a:p>
        <a:p>
          <a:pPr marL="171450" indent="-171450">
            <a:buFont typeface="Arial" panose="020B0604020202020204" pitchFamily="34" charset="0"/>
            <a:buChar char="•"/>
          </a:pPr>
          <a:r>
            <a:rPr lang="pl-PL" sz="1200" b="0" i="0">
              <a:solidFill>
                <a:sysClr val="windowText" lastClr="000000"/>
              </a:solidFill>
              <a:effectLst/>
              <a:latin typeface="+mn-lt"/>
              <a:ea typeface="+mn-ea"/>
              <a:cs typeface="+mn-cs"/>
            </a:rPr>
            <a:t>Enter the following (in cm):</a:t>
          </a:r>
        </a:p>
        <a:p>
          <a:pPr marL="628650" lvl="1" indent="-171450">
            <a:buFont typeface="Arial" panose="020B0604020202020204" pitchFamily="34" charset="0"/>
            <a:buChar char="•"/>
          </a:pPr>
          <a:r>
            <a:rPr lang="pl-PL" sz="1200" b="1" i="0">
              <a:solidFill>
                <a:sysClr val="windowText" lastClr="000000"/>
              </a:solidFill>
              <a:effectLst/>
              <a:latin typeface="+mn-lt"/>
              <a:ea typeface="+mn-ea"/>
              <a:cs typeface="+mn-cs"/>
            </a:rPr>
            <a:t>Chest</a:t>
          </a:r>
          <a:endParaRPr lang="pl-PL" sz="1200" b="0" i="0">
            <a:solidFill>
              <a:sysClr val="windowText" lastClr="000000"/>
            </a:solidFill>
            <a:effectLst/>
            <a:latin typeface="+mn-lt"/>
            <a:ea typeface="+mn-ea"/>
            <a:cs typeface="+mn-cs"/>
          </a:endParaRPr>
        </a:p>
        <a:p>
          <a:pPr marL="628650" lvl="1" indent="-171450">
            <a:buFont typeface="Arial" panose="020B0604020202020204" pitchFamily="34" charset="0"/>
            <a:buChar char="•"/>
          </a:pPr>
          <a:r>
            <a:rPr lang="pl-PL" sz="1200" b="1" i="0">
              <a:solidFill>
                <a:sysClr val="windowText" lastClr="000000"/>
              </a:solidFill>
              <a:effectLst/>
              <a:latin typeface="+mn-lt"/>
              <a:ea typeface="+mn-ea"/>
              <a:cs typeface="+mn-cs"/>
            </a:rPr>
            <a:t>Waist</a:t>
          </a:r>
          <a:endParaRPr lang="pl-PL" sz="1200" b="0" i="0">
            <a:solidFill>
              <a:sysClr val="windowText" lastClr="000000"/>
            </a:solidFill>
            <a:effectLst/>
            <a:latin typeface="+mn-lt"/>
            <a:ea typeface="+mn-ea"/>
            <a:cs typeface="+mn-cs"/>
          </a:endParaRPr>
        </a:p>
        <a:p>
          <a:pPr marL="628650" lvl="1" indent="-171450">
            <a:buFont typeface="Arial" panose="020B0604020202020204" pitchFamily="34" charset="0"/>
            <a:buChar char="•"/>
          </a:pPr>
          <a:r>
            <a:rPr lang="pl-PL" sz="1200" b="1" i="0">
              <a:solidFill>
                <a:sysClr val="windowText" lastClr="000000"/>
              </a:solidFill>
              <a:effectLst/>
              <a:latin typeface="+mn-lt"/>
              <a:ea typeface="+mn-ea"/>
              <a:cs typeface="+mn-cs"/>
            </a:rPr>
            <a:t>Hips</a:t>
          </a:r>
          <a:endParaRPr lang="pl-PL" sz="1200" b="0" i="0">
            <a:solidFill>
              <a:sysClr val="windowText" lastClr="000000"/>
            </a:solidFill>
            <a:effectLst/>
            <a:latin typeface="+mn-lt"/>
            <a:ea typeface="+mn-ea"/>
            <a:cs typeface="+mn-cs"/>
          </a:endParaRPr>
        </a:p>
        <a:p>
          <a:pPr marL="628650" lvl="1" indent="-171450">
            <a:buFont typeface="Arial" panose="020B0604020202020204" pitchFamily="34" charset="0"/>
            <a:buChar char="•"/>
          </a:pPr>
          <a:r>
            <a:rPr lang="pl-PL" sz="1200" b="1" i="0">
              <a:solidFill>
                <a:sysClr val="windowText" lastClr="000000"/>
              </a:solidFill>
              <a:effectLst/>
              <a:latin typeface="+mn-lt"/>
              <a:ea typeface="+mn-ea"/>
              <a:cs typeface="+mn-cs"/>
            </a:rPr>
            <a:t>Arms</a:t>
          </a:r>
          <a:endParaRPr lang="pl-PL" sz="1200" b="0" i="0">
            <a:solidFill>
              <a:sysClr val="windowText" lastClr="000000"/>
            </a:solidFill>
            <a:effectLst/>
            <a:latin typeface="+mn-lt"/>
            <a:ea typeface="+mn-ea"/>
            <a:cs typeface="+mn-cs"/>
          </a:endParaRPr>
        </a:p>
        <a:p>
          <a:pPr marL="628650" lvl="1" indent="-171450">
            <a:buFont typeface="Arial" panose="020B0604020202020204" pitchFamily="34" charset="0"/>
            <a:buChar char="•"/>
          </a:pPr>
          <a:r>
            <a:rPr lang="pl-PL" sz="1200" b="1" i="0">
              <a:solidFill>
                <a:sysClr val="windowText" lastClr="000000"/>
              </a:solidFill>
              <a:effectLst/>
              <a:latin typeface="+mn-lt"/>
              <a:ea typeface="+mn-ea"/>
              <a:cs typeface="+mn-cs"/>
            </a:rPr>
            <a:t>Thighs</a:t>
          </a:r>
          <a:endParaRPr lang="en-US" sz="1200" b="1" i="0">
            <a:solidFill>
              <a:sysClr val="windowText" lastClr="000000"/>
            </a:solidFill>
            <a:effectLst/>
            <a:latin typeface="+mn-lt"/>
            <a:ea typeface="+mn-ea"/>
            <a:cs typeface="+mn-cs"/>
          </a:endParaRPr>
        </a:p>
        <a:p>
          <a:pPr lvl="1"/>
          <a:endParaRPr lang="pl-PL" sz="1200" b="0" i="0">
            <a:solidFill>
              <a:sysClr val="windowText" lastClr="000000"/>
            </a:solidFill>
            <a:effectLst/>
            <a:latin typeface="+mn-lt"/>
            <a:ea typeface="+mn-ea"/>
            <a:cs typeface="+mn-cs"/>
          </a:endParaRPr>
        </a:p>
        <a:p>
          <a:r>
            <a:rPr lang="en-BI" sz="1200" b="1" i="0">
              <a:solidFill>
                <a:sysClr val="windowText" lastClr="000000"/>
              </a:solidFill>
              <a:effectLst/>
              <a:latin typeface="+mn-lt"/>
              <a:ea typeface="+mn-ea"/>
              <a:cs typeface="+mn-cs"/>
            </a:rPr>
            <a:t>📊 </a:t>
          </a:r>
          <a:r>
            <a:rPr lang="pl-PL" sz="1200" b="1" i="0">
              <a:solidFill>
                <a:sysClr val="windowText" lastClr="000000"/>
              </a:solidFill>
              <a:effectLst/>
              <a:latin typeface="+mn-lt"/>
              <a:ea typeface="+mn-ea"/>
              <a:cs typeface="+mn-cs"/>
            </a:rPr>
            <a:t>BMI (Body Mass Index)</a:t>
          </a:r>
        </a:p>
        <a:p>
          <a:pPr marL="171450" indent="-171450">
            <a:buFont typeface="Arial" panose="020B0604020202020204" pitchFamily="34" charset="0"/>
            <a:buChar char="•"/>
          </a:pPr>
          <a:r>
            <a:rPr lang="pl-PL" sz="1200" b="0" i="0">
              <a:solidFill>
                <a:sysClr val="windowText" lastClr="000000"/>
              </a:solidFill>
              <a:effectLst/>
              <a:latin typeface="+mn-lt"/>
              <a:ea typeface="+mn-ea"/>
              <a:cs typeface="+mn-cs"/>
            </a:rPr>
            <a:t>Auto-calculated using the formula</a:t>
          </a:r>
          <a:r>
            <a:rPr lang="en-US" sz="1200" b="0" i="0">
              <a:solidFill>
                <a:sysClr val="windowText" lastClr="000000"/>
              </a:solidFill>
              <a:effectLst/>
              <a:latin typeface="+mn-lt"/>
              <a:ea typeface="+mn-ea"/>
              <a:cs typeface="+mn-cs"/>
            </a:rPr>
            <a:t>.</a:t>
          </a:r>
          <a:endParaRPr lang="pl-PL" sz="1200" b="0" i="0">
            <a:solidFill>
              <a:sysClr val="windowText" lastClr="000000"/>
            </a:solidFill>
            <a:effectLst/>
            <a:latin typeface="+mn-lt"/>
            <a:ea typeface="+mn-ea"/>
            <a:cs typeface="+mn-cs"/>
          </a:endParaRPr>
        </a:p>
        <a:p>
          <a:pPr marL="171450" indent="-171450">
            <a:buFont typeface="Arial" panose="020B0604020202020204" pitchFamily="34" charset="0"/>
            <a:buChar char="•"/>
          </a:pPr>
          <a:r>
            <a:rPr lang="pl-PL" sz="1200" b="0" i="0">
              <a:solidFill>
                <a:sysClr val="windowText" lastClr="000000"/>
              </a:solidFill>
              <a:effectLst/>
              <a:latin typeface="+mn-lt"/>
              <a:ea typeface="+mn-ea"/>
              <a:cs typeface="+mn-cs"/>
            </a:rPr>
            <a:t>No need to enter anything manually.</a:t>
          </a:r>
          <a:endParaRPr lang="en-US" sz="1200" b="0" i="0">
            <a:solidFill>
              <a:sysClr val="windowText" lastClr="000000"/>
            </a:solidFill>
            <a:effectLst/>
            <a:latin typeface="+mn-lt"/>
            <a:ea typeface="+mn-ea"/>
            <a:cs typeface="+mn-cs"/>
          </a:endParaRPr>
        </a:p>
        <a:p>
          <a:endParaRPr lang="pl-PL" sz="1200" b="0" i="0">
            <a:solidFill>
              <a:sysClr val="windowText" lastClr="000000"/>
            </a:solidFill>
            <a:effectLst/>
            <a:latin typeface="+mn-lt"/>
            <a:ea typeface="+mn-ea"/>
            <a:cs typeface="+mn-cs"/>
          </a:endParaRPr>
        </a:p>
        <a:p>
          <a:r>
            <a:rPr lang="en-BI" sz="1200" b="1" i="0">
              <a:solidFill>
                <a:sysClr val="windowText" lastClr="000000"/>
              </a:solidFill>
              <a:effectLst/>
              <a:latin typeface="+mn-lt"/>
              <a:ea typeface="+mn-ea"/>
              <a:cs typeface="+mn-cs"/>
            </a:rPr>
            <a:t>🎨 </a:t>
          </a:r>
          <a:r>
            <a:rPr lang="pl-PL" sz="1200" b="1" i="0">
              <a:solidFill>
                <a:sysClr val="windowText" lastClr="000000"/>
              </a:solidFill>
              <a:effectLst/>
              <a:latin typeface="+mn-lt"/>
              <a:ea typeface="+mn-ea"/>
              <a:cs typeface="+mn-cs"/>
            </a:rPr>
            <a:t>Conditional Formatting (BMI Status)</a:t>
          </a:r>
        </a:p>
        <a:p>
          <a:r>
            <a:rPr lang="pl-PL" sz="1200" b="0" i="0">
              <a:solidFill>
                <a:sysClr val="windowText" lastClr="000000"/>
              </a:solidFill>
              <a:effectLst/>
              <a:latin typeface="+mn-lt"/>
              <a:ea typeface="+mn-ea"/>
              <a:cs typeface="+mn-cs"/>
            </a:rPr>
            <a:t>The BMI cell is color-coded:</a:t>
          </a:r>
        </a:p>
        <a:p>
          <a:pPr marL="628650" lvl="1" indent="-171450">
            <a:buFont typeface="Arial" panose="020B0604020202020204" pitchFamily="34" charset="0"/>
            <a:buChar char="•"/>
          </a:pPr>
          <a:r>
            <a:rPr lang="en-BI" sz="1200" b="0" i="0">
              <a:solidFill>
                <a:sysClr val="windowText" lastClr="000000"/>
              </a:solidFill>
              <a:effectLst/>
              <a:latin typeface="+mn-lt"/>
              <a:ea typeface="+mn-ea"/>
              <a:cs typeface="+mn-cs"/>
            </a:rPr>
            <a:t>🔵 </a:t>
          </a:r>
          <a:r>
            <a:rPr lang="pl-PL" sz="1200" b="1" i="0">
              <a:solidFill>
                <a:sysClr val="windowText" lastClr="000000"/>
              </a:solidFill>
              <a:effectLst/>
              <a:latin typeface="+mn-lt"/>
              <a:ea typeface="+mn-ea"/>
              <a:cs typeface="+mn-cs"/>
            </a:rPr>
            <a:t>Underweight</a:t>
          </a:r>
          <a:r>
            <a:rPr lang="pl-PL" sz="1200" b="0" i="0">
              <a:solidFill>
                <a:sysClr val="windowText" lastClr="000000"/>
              </a:solidFill>
              <a:effectLst/>
              <a:latin typeface="+mn-lt"/>
              <a:ea typeface="+mn-ea"/>
              <a:cs typeface="+mn-cs"/>
            </a:rPr>
            <a:t> → BMI &lt; 18.5</a:t>
          </a:r>
        </a:p>
        <a:p>
          <a:pPr marL="628650" lvl="1" indent="-171450">
            <a:buFont typeface="Arial" panose="020B0604020202020204" pitchFamily="34" charset="0"/>
            <a:buChar char="•"/>
          </a:pPr>
          <a:r>
            <a:rPr lang="en-BI" sz="1200" b="0" i="0">
              <a:solidFill>
                <a:sysClr val="windowText" lastClr="000000"/>
              </a:solidFill>
              <a:effectLst/>
              <a:latin typeface="+mn-lt"/>
              <a:ea typeface="+mn-ea"/>
              <a:cs typeface="+mn-cs"/>
            </a:rPr>
            <a:t>🟢 </a:t>
          </a:r>
          <a:r>
            <a:rPr lang="pl-PL" sz="1200" b="1" i="0">
              <a:solidFill>
                <a:sysClr val="windowText" lastClr="000000"/>
              </a:solidFill>
              <a:effectLst/>
              <a:latin typeface="+mn-lt"/>
              <a:ea typeface="+mn-ea"/>
              <a:cs typeface="+mn-cs"/>
            </a:rPr>
            <a:t>Normal</a:t>
          </a:r>
          <a:r>
            <a:rPr lang="pl-PL" sz="1200" b="0" i="0">
              <a:solidFill>
                <a:sysClr val="windowText" lastClr="000000"/>
              </a:solidFill>
              <a:effectLst/>
              <a:latin typeface="+mn-lt"/>
              <a:ea typeface="+mn-ea"/>
              <a:cs typeface="+mn-cs"/>
            </a:rPr>
            <a:t> → BMI 18.5 – 24.9</a:t>
          </a:r>
        </a:p>
        <a:p>
          <a:pPr marL="628650" lvl="1" indent="-171450">
            <a:buFont typeface="Arial" panose="020B0604020202020204" pitchFamily="34" charset="0"/>
            <a:buChar char="•"/>
          </a:pPr>
          <a:r>
            <a:rPr lang="en-BI" sz="1200" b="0" i="0">
              <a:solidFill>
                <a:sysClr val="windowText" lastClr="000000"/>
              </a:solidFill>
              <a:effectLst/>
              <a:latin typeface="+mn-lt"/>
              <a:ea typeface="+mn-ea"/>
              <a:cs typeface="+mn-cs"/>
            </a:rPr>
            <a:t>🟠 </a:t>
          </a:r>
          <a:r>
            <a:rPr lang="pl-PL" sz="1200" b="1" i="0">
              <a:solidFill>
                <a:sysClr val="windowText" lastClr="000000"/>
              </a:solidFill>
              <a:effectLst/>
              <a:latin typeface="+mn-lt"/>
              <a:ea typeface="+mn-ea"/>
              <a:cs typeface="+mn-cs"/>
            </a:rPr>
            <a:t>Overweight</a:t>
          </a:r>
          <a:r>
            <a:rPr lang="pl-PL" sz="1200" b="0" i="0">
              <a:solidFill>
                <a:sysClr val="windowText" lastClr="000000"/>
              </a:solidFill>
              <a:effectLst/>
              <a:latin typeface="+mn-lt"/>
              <a:ea typeface="+mn-ea"/>
              <a:cs typeface="+mn-cs"/>
            </a:rPr>
            <a:t> → BMI 25 – 29.9</a:t>
          </a:r>
        </a:p>
        <a:p>
          <a:pPr marL="628650" lvl="1" indent="-171450">
            <a:buFont typeface="Arial" panose="020B0604020202020204" pitchFamily="34" charset="0"/>
            <a:buChar char="•"/>
          </a:pPr>
          <a:r>
            <a:rPr lang="en-BI" sz="1200" b="0" i="0">
              <a:solidFill>
                <a:sysClr val="windowText" lastClr="000000"/>
              </a:solidFill>
              <a:effectLst/>
              <a:latin typeface="+mn-lt"/>
              <a:ea typeface="+mn-ea"/>
              <a:cs typeface="+mn-cs"/>
            </a:rPr>
            <a:t>🔴 </a:t>
          </a:r>
          <a:r>
            <a:rPr lang="pl-PL" sz="1200" b="1" i="0">
              <a:solidFill>
                <a:sysClr val="windowText" lastClr="000000"/>
              </a:solidFill>
              <a:effectLst/>
              <a:latin typeface="+mn-lt"/>
              <a:ea typeface="+mn-ea"/>
              <a:cs typeface="+mn-cs"/>
            </a:rPr>
            <a:t>Obese</a:t>
          </a:r>
          <a:r>
            <a:rPr lang="pl-PL" sz="1200" b="0" i="0">
              <a:solidFill>
                <a:sysClr val="windowText" lastClr="000000"/>
              </a:solidFill>
              <a:effectLst/>
              <a:latin typeface="+mn-lt"/>
              <a:ea typeface="+mn-ea"/>
              <a:cs typeface="+mn-cs"/>
            </a:rPr>
            <a:t> → BMI ≥ 30</a:t>
          </a:r>
        </a:p>
        <a:p>
          <a:r>
            <a:rPr lang="en-BI" sz="1200" b="0" i="0">
              <a:solidFill>
                <a:sysClr val="windowText" lastClr="000000"/>
              </a:solidFill>
              <a:effectLst/>
              <a:latin typeface="+mn-lt"/>
              <a:ea typeface="+mn-ea"/>
              <a:cs typeface="+mn-cs"/>
            </a:rPr>
            <a:t>✅ </a:t>
          </a:r>
          <a:r>
            <a:rPr lang="pl-PL" sz="1200" b="1" i="0">
              <a:solidFill>
                <a:sysClr val="windowText" lastClr="000000"/>
              </a:solidFill>
              <a:effectLst/>
              <a:latin typeface="+mn-lt"/>
              <a:ea typeface="+mn-ea"/>
              <a:cs typeface="+mn-cs"/>
            </a:rPr>
            <a:t>Tip:</a:t>
          </a:r>
          <a:r>
            <a:rPr lang="pl-PL" sz="1200" b="0" i="0">
              <a:solidFill>
                <a:sysClr val="windowText" lastClr="000000"/>
              </a:solidFill>
              <a:effectLst/>
              <a:latin typeface="+mn-lt"/>
              <a:ea typeface="+mn-ea"/>
              <a:cs typeface="+mn-cs"/>
            </a:rPr>
            <a:t> Always update your body measurements at least once a week to track progress.</a:t>
          </a:r>
        </a:p>
      </xdr:txBody>
    </xdr:sp>
    <xdr:clientData/>
  </xdr:twoCellAnchor>
  <xdr:twoCellAnchor>
    <xdr:from>
      <xdr:col>3</xdr:col>
      <xdr:colOff>17145</xdr:colOff>
      <xdr:row>106</xdr:row>
      <xdr:rowOff>121920</xdr:rowOff>
    </xdr:from>
    <xdr:to>
      <xdr:col>12</xdr:col>
      <xdr:colOff>306705</xdr:colOff>
      <xdr:row>153</xdr:row>
      <xdr:rowOff>106680</xdr:rowOff>
    </xdr:to>
    <xdr:sp macro="" textlink="">
      <xdr:nvSpPr>
        <xdr:cNvPr id="7" name="Rectangle 6">
          <a:extLst>
            <a:ext uri="{FF2B5EF4-FFF2-40B4-BE49-F238E27FC236}">
              <a16:creationId xmlns:a16="http://schemas.microsoft.com/office/drawing/2014/main" id="{3AD15ADA-3981-4801-8B75-A58B5A400FFE}"/>
            </a:ext>
          </a:extLst>
        </xdr:cNvPr>
        <xdr:cNvSpPr/>
      </xdr:nvSpPr>
      <xdr:spPr>
        <a:xfrm>
          <a:off x="2028825" y="18950940"/>
          <a:ext cx="6324600" cy="8221980"/>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BI" sz="1400" b="1" i="0">
              <a:solidFill>
                <a:sysClr val="windowText" lastClr="000000"/>
              </a:solidFill>
              <a:effectLst/>
              <a:latin typeface="+mn-lt"/>
              <a:ea typeface="+mn-ea"/>
              <a:cs typeface="+mn-cs"/>
            </a:rPr>
            <a:t>🍽️ </a:t>
          </a:r>
          <a:r>
            <a:rPr lang="pl-PL" sz="1400" b="1" i="0">
              <a:solidFill>
                <a:sysClr val="windowText" lastClr="000000"/>
              </a:solidFill>
              <a:effectLst/>
              <a:latin typeface="+mn-lt"/>
              <a:ea typeface="+mn-ea"/>
              <a:cs typeface="+mn-cs"/>
            </a:rPr>
            <a:t>Diet Plan</a:t>
          </a:r>
          <a:r>
            <a:rPr lang="en-US" sz="1400" b="1" i="0">
              <a:solidFill>
                <a:sysClr val="windowText" lastClr="000000"/>
              </a:solidFill>
              <a:effectLst/>
              <a:latin typeface="+mn-lt"/>
              <a:ea typeface="+mn-ea"/>
              <a:cs typeface="+mn-cs"/>
            </a:rPr>
            <a:t> Log</a:t>
          </a:r>
          <a:r>
            <a:rPr lang="pl-PL" sz="1400" b="1" i="0">
              <a:solidFill>
                <a:sysClr val="windowText" lastClr="000000"/>
              </a:solidFill>
              <a:effectLst/>
              <a:latin typeface="+mn-lt"/>
              <a:ea typeface="+mn-ea"/>
              <a:cs typeface="+mn-cs"/>
            </a:rPr>
            <a:t> – Instructions</a:t>
          </a:r>
          <a:endParaRPr lang="en-US" sz="1400" b="1" i="0">
            <a:solidFill>
              <a:sysClr val="windowText" lastClr="000000"/>
            </a:solidFill>
            <a:effectLst/>
            <a:latin typeface="+mn-lt"/>
            <a:ea typeface="+mn-ea"/>
            <a:cs typeface="+mn-cs"/>
          </a:endParaRPr>
        </a:p>
        <a:p>
          <a:endParaRPr lang="pl-PL" sz="1400" b="1" i="0">
            <a:solidFill>
              <a:sysClr val="windowText" lastClr="000000"/>
            </a:solidFill>
            <a:effectLst/>
            <a:latin typeface="+mn-lt"/>
            <a:ea typeface="+mn-ea"/>
            <a:cs typeface="+mn-cs"/>
          </a:endParaRPr>
        </a:p>
        <a:p>
          <a:r>
            <a:rPr lang="en-BI" sz="1200" b="1" i="0">
              <a:solidFill>
                <a:sysClr val="windowText" lastClr="000000"/>
              </a:solidFill>
              <a:effectLst/>
              <a:latin typeface="+mn-lt"/>
              <a:ea typeface="+mn-ea"/>
              <a:cs typeface="+mn-cs"/>
            </a:rPr>
            <a:t>📅 </a:t>
          </a:r>
          <a:r>
            <a:rPr lang="pl-PL" sz="1200" b="1" i="0">
              <a:solidFill>
                <a:sysClr val="windowText" lastClr="000000"/>
              </a:solidFill>
              <a:effectLst/>
              <a:latin typeface="+mn-lt"/>
              <a:ea typeface="+mn-ea"/>
              <a:cs typeface="+mn-cs"/>
            </a:rPr>
            <a:t>Date</a:t>
          </a:r>
        </a:p>
        <a:p>
          <a:pPr marL="171450" indent="-171450">
            <a:buFont typeface="Arial" panose="020B0604020202020204" pitchFamily="34" charset="0"/>
            <a:buChar char="•"/>
          </a:pPr>
          <a:r>
            <a:rPr lang="pl-PL" sz="1200" b="0" i="0">
              <a:solidFill>
                <a:sysClr val="windowText" lastClr="000000"/>
              </a:solidFill>
              <a:effectLst/>
              <a:latin typeface="+mn-lt"/>
              <a:ea typeface="+mn-ea"/>
              <a:cs typeface="+mn-cs"/>
            </a:rPr>
            <a:t>Click the cell → A </a:t>
          </a:r>
          <a:r>
            <a:rPr lang="pl-PL" sz="1200" b="1" i="0">
              <a:solidFill>
                <a:sysClr val="windowText" lastClr="000000"/>
              </a:solidFill>
              <a:effectLst/>
              <a:latin typeface="+mn-lt"/>
              <a:ea typeface="+mn-ea"/>
              <a:cs typeface="+mn-cs"/>
            </a:rPr>
            <a:t>calendar pops up (VBA)</a:t>
          </a:r>
          <a:r>
            <a:rPr lang="pl-PL" sz="1200" b="0" i="0">
              <a:solidFill>
                <a:sysClr val="windowText" lastClr="000000"/>
              </a:solidFill>
              <a:effectLst/>
              <a:latin typeface="+mn-lt"/>
              <a:ea typeface="+mn-ea"/>
              <a:cs typeface="+mn-cs"/>
            </a:rPr>
            <a:t> to select the meal log date.</a:t>
          </a:r>
        </a:p>
        <a:p>
          <a:pPr marL="171450" indent="-171450">
            <a:buFont typeface="Arial" panose="020B0604020202020204" pitchFamily="34" charset="0"/>
            <a:buChar char="•"/>
          </a:pPr>
          <a:r>
            <a:rPr lang="pl-PL" sz="1200" b="0" i="0">
              <a:solidFill>
                <a:sysClr val="windowText" lastClr="000000"/>
              </a:solidFill>
              <a:effectLst/>
              <a:latin typeface="+mn-lt"/>
              <a:ea typeface="+mn-ea"/>
              <a:cs typeface="+mn-cs"/>
            </a:rPr>
            <a:t>Keep this consistent with your workout and body measurement logs for proper tracking.</a:t>
          </a:r>
          <a:endParaRPr lang="en-US" sz="1200" b="0" i="0">
            <a:solidFill>
              <a:sysClr val="windowText" lastClr="000000"/>
            </a:solidFill>
            <a:effectLst/>
            <a:latin typeface="+mn-lt"/>
            <a:ea typeface="+mn-ea"/>
            <a:cs typeface="+mn-cs"/>
          </a:endParaRPr>
        </a:p>
        <a:p>
          <a:endParaRPr lang="pl-PL" sz="1200" b="0" i="0">
            <a:solidFill>
              <a:sysClr val="windowText" lastClr="000000"/>
            </a:solidFill>
            <a:effectLst/>
            <a:latin typeface="+mn-lt"/>
            <a:ea typeface="+mn-ea"/>
            <a:cs typeface="+mn-cs"/>
          </a:endParaRPr>
        </a:p>
        <a:p>
          <a:r>
            <a:rPr lang="en-BI" sz="1200" b="1" i="0">
              <a:solidFill>
                <a:sysClr val="windowText" lastClr="000000"/>
              </a:solidFill>
              <a:effectLst/>
              <a:latin typeface="+mn-lt"/>
              <a:ea typeface="+mn-ea"/>
              <a:cs typeface="+mn-cs"/>
            </a:rPr>
            <a:t>📆 </a:t>
          </a:r>
          <a:r>
            <a:rPr lang="pl-PL" sz="1200" b="1" i="0">
              <a:solidFill>
                <a:sysClr val="windowText" lastClr="000000"/>
              </a:solidFill>
              <a:effectLst/>
              <a:latin typeface="+mn-lt"/>
              <a:ea typeface="+mn-ea"/>
              <a:cs typeface="+mn-cs"/>
            </a:rPr>
            <a:t>Week</a:t>
          </a:r>
        </a:p>
        <a:p>
          <a:pPr marL="171450" indent="-171450">
            <a:buFont typeface="Arial" panose="020B0604020202020204" pitchFamily="34" charset="0"/>
            <a:buChar char="•"/>
          </a:pPr>
          <a:r>
            <a:rPr lang="pl-PL" sz="1200" b="0" i="0">
              <a:solidFill>
                <a:sysClr val="windowText" lastClr="000000"/>
              </a:solidFill>
              <a:effectLst/>
              <a:latin typeface="+mn-lt"/>
              <a:ea typeface="+mn-ea"/>
              <a:cs typeface="+mn-cs"/>
            </a:rPr>
            <a:t>Auto-calculated with formula</a:t>
          </a:r>
          <a:r>
            <a:rPr lang="en-US" sz="1200" b="0" i="0">
              <a:solidFill>
                <a:sysClr val="windowText" lastClr="000000"/>
              </a:solidFill>
              <a:effectLst/>
              <a:latin typeface="+mn-lt"/>
              <a:ea typeface="+mn-ea"/>
              <a:cs typeface="+mn-cs"/>
            </a:rPr>
            <a:t>.</a:t>
          </a:r>
        </a:p>
        <a:p>
          <a:pPr marL="171450" indent="-171450">
            <a:buFont typeface="Arial" panose="020B0604020202020204" pitchFamily="34" charset="0"/>
            <a:buChar char="•"/>
          </a:pPr>
          <a:r>
            <a:rPr lang="pl-PL" sz="1200" b="0" i="0">
              <a:solidFill>
                <a:sysClr val="windowText" lastClr="000000"/>
              </a:solidFill>
              <a:effectLst/>
              <a:latin typeface="+mn-lt"/>
              <a:ea typeface="+mn-ea"/>
              <a:cs typeface="+mn-cs"/>
            </a:rPr>
            <a:t>No manual entry required.</a:t>
          </a:r>
          <a:endParaRPr lang="en-US" sz="1200" b="0" i="0">
            <a:solidFill>
              <a:sysClr val="windowText" lastClr="000000"/>
            </a:solidFill>
            <a:effectLst/>
            <a:latin typeface="+mn-lt"/>
            <a:ea typeface="+mn-ea"/>
            <a:cs typeface="+mn-cs"/>
          </a:endParaRPr>
        </a:p>
        <a:p>
          <a:endParaRPr lang="pl-PL" sz="1200" b="0" i="0">
            <a:solidFill>
              <a:sysClr val="windowText" lastClr="000000"/>
            </a:solidFill>
            <a:effectLst/>
            <a:latin typeface="+mn-lt"/>
            <a:ea typeface="+mn-ea"/>
            <a:cs typeface="+mn-cs"/>
          </a:endParaRPr>
        </a:p>
        <a:p>
          <a:r>
            <a:rPr lang="en-BI" sz="1200" b="1" i="0">
              <a:solidFill>
                <a:sysClr val="windowText" lastClr="000000"/>
              </a:solidFill>
              <a:effectLst/>
              <a:latin typeface="+mn-lt"/>
              <a:ea typeface="+mn-ea"/>
              <a:cs typeface="+mn-cs"/>
            </a:rPr>
            <a:t>🍲 </a:t>
          </a:r>
          <a:r>
            <a:rPr lang="pl-PL" sz="1200" b="1" i="0">
              <a:solidFill>
                <a:sysClr val="windowText" lastClr="000000"/>
              </a:solidFill>
              <a:effectLst/>
              <a:latin typeface="+mn-lt"/>
              <a:ea typeface="+mn-ea"/>
              <a:cs typeface="+mn-cs"/>
            </a:rPr>
            <a:t>Meal Type</a:t>
          </a:r>
        </a:p>
        <a:p>
          <a:pPr marL="171450" indent="-171450">
            <a:buFont typeface="Arial" panose="020B0604020202020204" pitchFamily="34" charset="0"/>
            <a:buChar char="•"/>
          </a:pPr>
          <a:r>
            <a:rPr lang="pl-PL" sz="1200" b="0" i="0">
              <a:solidFill>
                <a:sysClr val="windowText" lastClr="000000"/>
              </a:solidFill>
              <a:effectLst/>
              <a:latin typeface="+mn-lt"/>
              <a:ea typeface="+mn-ea"/>
              <a:cs typeface="+mn-cs"/>
            </a:rPr>
            <a:t>Select from the </a:t>
          </a:r>
          <a:r>
            <a:rPr lang="pl-PL" sz="1200" b="1" i="0">
              <a:solidFill>
                <a:sysClr val="windowText" lastClr="000000"/>
              </a:solidFill>
              <a:effectLst/>
              <a:latin typeface="+mn-lt"/>
              <a:ea typeface="+mn-ea"/>
              <a:cs typeface="+mn-cs"/>
            </a:rPr>
            <a:t>drop-down list</a:t>
          </a:r>
          <a:r>
            <a:rPr lang="pl-PL" sz="1200" b="0" i="0">
              <a:solidFill>
                <a:sysClr val="windowText" lastClr="000000"/>
              </a:solidFill>
              <a:effectLst/>
              <a:latin typeface="+mn-lt"/>
              <a:ea typeface="+mn-ea"/>
              <a:cs typeface="+mn-cs"/>
            </a:rPr>
            <a:t> (e.g., Breakfast, Lunch, Dinner, Snack).</a:t>
          </a:r>
          <a:endParaRPr lang="en-US" sz="1200" b="0" i="0">
            <a:solidFill>
              <a:sysClr val="windowText" lastClr="000000"/>
            </a:solidFill>
            <a:effectLst/>
            <a:latin typeface="+mn-lt"/>
            <a:ea typeface="+mn-ea"/>
            <a:cs typeface="+mn-cs"/>
          </a:endParaRPr>
        </a:p>
        <a:p>
          <a:endParaRPr lang="pl-PL" sz="1200" b="0" i="0">
            <a:solidFill>
              <a:sysClr val="windowText" lastClr="000000"/>
            </a:solidFill>
            <a:effectLst/>
            <a:latin typeface="+mn-lt"/>
            <a:ea typeface="+mn-ea"/>
            <a:cs typeface="+mn-cs"/>
          </a:endParaRPr>
        </a:p>
        <a:p>
          <a:r>
            <a:rPr lang="pl-PL" sz="1200" b="1" i="0">
              <a:solidFill>
                <a:sysClr val="windowText" lastClr="000000"/>
              </a:solidFill>
              <a:effectLst/>
              <a:latin typeface="+mn-lt"/>
              <a:ea typeface="+mn-ea"/>
              <a:cs typeface="+mn-cs"/>
            </a:rPr>
            <a:t>⏰ Time</a:t>
          </a:r>
        </a:p>
        <a:p>
          <a:pPr marL="171450" indent="-171450">
            <a:buFont typeface="Arial" panose="020B0604020202020204" pitchFamily="34" charset="0"/>
            <a:buChar char="•"/>
          </a:pPr>
          <a:r>
            <a:rPr lang="pl-PL" sz="1200" b="0" i="0">
              <a:solidFill>
                <a:sysClr val="windowText" lastClr="000000"/>
              </a:solidFill>
              <a:effectLst/>
              <a:latin typeface="+mn-lt"/>
              <a:ea typeface="+mn-ea"/>
              <a:cs typeface="+mn-cs"/>
            </a:rPr>
            <a:t>Enter the meal time in </a:t>
          </a:r>
          <a:r>
            <a:rPr lang="pl-PL" sz="1200" b="1" i="0">
              <a:solidFill>
                <a:sysClr val="windowText" lastClr="000000"/>
              </a:solidFill>
              <a:effectLst/>
              <a:latin typeface="+mn-lt"/>
              <a:ea typeface="+mn-ea"/>
              <a:cs typeface="+mn-cs"/>
            </a:rPr>
            <a:t>24-hour format</a:t>
          </a:r>
          <a:r>
            <a:rPr lang="pl-PL" sz="1200" b="0" i="0">
              <a:solidFill>
                <a:sysClr val="windowText" lastClr="000000"/>
              </a:solidFill>
              <a:effectLst/>
              <a:latin typeface="+mn-lt"/>
              <a:ea typeface="+mn-ea"/>
              <a:cs typeface="+mn-cs"/>
            </a:rPr>
            <a:t> (e.g., 07:30, 13:00, 20:15).</a:t>
          </a:r>
          <a:endParaRPr lang="en-US" sz="1200" b="0" i="0">
            <a:solidFill>
              <a:sysClr val="windowText" lastClr="000000"/>
            </a:solidFill>
            <a:effectLst/>
            <a:latin typeface="+mn-lt"/>
            <a:ea typeface="+mn-ea"/>
            <a:cs typeface="+mn-cs"/>
          </a:endParaRPr>
        </a:p>
        <a:p>
          <a:endParaRPr lang="pl-PL" sz="1200" b="0" i="0">
            <a:solidFill>
              <a:sysClr val="windowText" lastClr="000000"/>
            </a:solidFill>
            <a:effectLst/>
            <a:latin typeface="+mn-lt"/>
            <a:ea typeface="+mn-ea"/>
            <a:cs typeface="+mn-cs"/>
          </a:endParaRPr>
        </a:p>
        <a:p>
          <a:r>
            <a:rPr lang="en-BI" sz="1200" b="1" i="0">
              <a:solidFill>
                <a:sysClr val="windowText" lastClr="000000"/>
              </a:solidFill>
              <a:effectLst/>
              <a:latin typeface="+mn-lt"/>
              <a:ea typeface="+mn-ea"/>
              <a:cs typeface="+mn-cs"/>
            </a:rPr>
            <a:t>🥗 </a:t>
          </a:r>
          <a:r>
            <a:rPr lang="pl-PL" sz="1200" b="1" i="0">
              <a:solidFill>
                <a:sysClr val="windowText" lastClr="000000"/>
              </a:solidFill>
              <a:effectLst/>
              <a:latin typeface="+mn-lt"/>
              <a:ea typeface="+mn-ea"/>
              <a:cs typeface="+mn-cs"/>
            </a:rPr>
            <a:t>Food Item</a:t>
          </a:r>
        </a:p>
        <a:p>
          <a:pPr marL="171450" indent="-171450">
            <a:buFont typeface="Arial" panose="020B0604020202020204" pitchFamily="34" charset="0"/>
            <a:buChar char="•"/>
          </a:pPr>
          <a:r>
            <a:rPr lang="pl-PL" sz="1200" b="0" i="0">
              <a:solidFill>
                <a:sysClr val="windowText" lastClr="000000"/>
              </a:solidFill>
              <a:effectLst/>
              <a:latin typeface="+mn-lt"/>
              <a:ea typeface="+mn-ea"/>
              <a:cs typeface="+mn-cs"/>
            </a:rPr>
            <a:t>Choose from the </a:t>
          </a:r>
          <a:r>
            <a:rPr lang="pl-PL" sz="1200" b="1" i="0">
              <a:solidFill>
                <a:sysClr val="windowText" lastClr="000000"/>
              </a:solidFill>
              <a:effectLst/>
              <a:latin typeface="+mn-lt"/>
              <a:ea typeface="+mn-ea"/>
              <a:cs typeface="+mn-cs"/>
            </a:rPr>
            <a:t>drop-down list</a:t>
          </a:r>
          <a:r>
            <a:rPr lang="pl-PL" sz="1200" b="0" i="0">
              <a:solidFill>
                <a:sysClr val="windowText" lastClr="000000"/>
              </a:solidFill>
              <a:effectLst/>
              <a:latin typeface="+mn-lt"/>
              <a:ea typeface="+mn-ea"/>
              <a:cs typeface="+mn-cs"/>
            </a:rPr>
            <a:t> linked to your </a:t>
          </a:r>
          <a:r>
            <a:rPr lang="pl-PL" sz="1200" b="1" i="0">
              <a:solidFill>
                <a:sysClr val="windowText" lastClr="000000"/>
              </a:solidFill>
              <a:effectLst/>
              <a:latin typeface="+mn-lt"/>
              <a:ea typeface="+mn-ea"/>
              <a:cs typeface="+mn-cs"/>
            </a:rPr>
            <a:t>Food Database</a:t>
          </a:r>
          <a:r>
            <a:rPr lang="pl-PL" sz="1200" b="0" i="0">
              <a:solidFill>
                <a:sysClr val="windowText" lastClr="000000"/>
              </a:solidFill>
              <a:effectLst/>
              <a:latin typeface="+mn-lt"/>
              <a:ea typeface="+mn-ea"/>
              <a:cs typeface="+mn-cs"/>
            </a:rPr>
            <a:t>.</a:t>
          </a:r>
        </a:p>
        <a:p>
          <a:pPr marL="171450" indent="-171450">
            <a:buFont typeface="Arial" panose="020B0604020202020204" pitchFamily="34" charset="0"/>
            <a:buChar char="•"/>
          </a:pPr>
          <a:r>
            <a:rPr lang="pl-PL" sz="1200" b="0" i="0">
              <a:solidFill>
                <a:sysClr val="windowText" lastClr="000000"/>
              </a:solidFill>
              <a:effectLst/>
              <a:latin typeface="+mn-lt"/>
              <a:ea typeface="+mn-ea"/>
              <a:cs typeface="+mn-cs"/>
            </a:rPr>
            <a:t>You can expand the database to add new foods if needed.</a:t>
          </a:r>
          <a:endParaRPr lang="en-US" sz="1200" b="0" i="0">
            <a:solidFill>
              <a:sysClr val="windowText" lastClr="000000"/>
            </a:solidFill>
            <a:effectLst/>
            <a:latin typeface="+mn-lt"/>
            <a:ea typeface="+mn-ea"/>
            <a:cs typeface="+mn-cs"/>
          </a:endParaRPr>
        </a:p>
        <a:p>
          <a:endParaRPr lang="pl-PL" sz="1200" b="0" i="0">
            <a:solidFill>
              <a:sysClr val="windowText" lastClr="000000"/>
            </a:solidFill>
            <a:effectLst/>
            <a:latin typeface="+mn-lt"/>
            <a:ea typeface="+mn-ea"/>
            <a:cs typeface="+mn-cs"/>
          </a:endParaRPr>
        </a:p>
        <a:p>
          <a:r>
            <a:rPr lang="pl-PL" sz="1200" b="1" i="0">
              <a:solidFill>
                <a:sysClr val="windowText" lastClr="000000"/>
              </a:solidFill>
              <a:effectLst/>
              <a:latin typeface="+mn-lt"/>
              <a:ea typeface="+mn-ea"/>
              <a:cs typeface="+mn-cs"/>
            </a:rPr>
            <a:t>⚖️ Quantity</a:t>
          </a:r>
        </a:p>
        <a:p>
          <a:pPr marL="171450" indent="-171450">
            <a:buFont typeface="Arial" panose="020B0604020202020204" pitchFamily="34" charset="0"/>
            <a:buChar char="•"/>
          </a:pPr>
          <a:r>
            <a:rPr lang="pl-PL" sz="1200" b="0" i="0">
              <a:solidFill>
                <a:sysClr val="windowText" lastClr="000000"/>
              </a:solidFill>
              <a:effectLst/>
              <a:latin typeface="+mn-lt"/>
              <a:ea typeface="+mn-ea"/>
              <a:cs typeface="+mn-cs"/>
            </a:rPr>
            <a:t>Enter the </a:t>
          </a:r>
          <a:r>
            <a:rPr lang="pl-PL" sz="1200" b="1" i="0">
              <a:solidFill>
                <a:sysClr val="windowText" lastClr="000000"/>
              </a:solidFill>
              <a:effectLst/>
              <a:latin typeface="+mn-lt"/>
              <a:ea typeface="+mn-ea"/>
              <a:cs typeface="+mn-cs"/>
            </a:rPr>
            <a:t>amount consumed</a:t>
          </a:r>
          <a:r>
            <a:rPr lang="pl-PL" sz="1200" b="0" i="0">
              <a:solidFill>
                <a:sysClr val="windowText" lastClr="000000"/>
              </a:solidFill>
              <a:effectLst/>
              <a:latin typeface="+mn-lt"/>
              <a:ea typeface="+mn-ea"/>
              <a:cs typeface="+mn-cs"/>
            </a:rPr>
            <a:t> (grams/ml/portion depending on food).</a:t>
          </a:r>
          <a:endParaRPr lang="en-US" sz="1200" b="0" i="0">
            <a:solidFill>
              <a:sysClr val="windowText" lastClr="000000"/>
            </a:solidFill>
            <a:effectLst/>
            <a:latin typeface="+mn-lt"/>
            <a:ea typeface="+mn-ea"/>
            <a:cs typeface="+mn-cs"/>
          </a:endParaRPr>
        </a:p>
        <a:p>
          <a:pPr marL="171450" indent="-171450">
            <a:buFont typeface="Arial" panose="020B0604020202020204" pitchFamily="34" charset="0"/>
            <a:buChar char="•"/>
          </a:pPr>
          <a:endParaRPr lang="pl-PL" sz="1200" b="0" i="0">
            <a:solidFill>
              <a:sysClr val="windowText" lastClr="000000"/>
            </a:solidFill>
            <a:effectLst/>
            <a:latin typeface="+mn-lt"/>
            <a:ea typeface="+mn-ea"/>
            <a:cs typeface="+mn-cs"/>
          </a:endParaRPr>
        </a:p>
        <a:p>
          <a:r>
            <a:rPr lang="en-BI" sz="1200" b="1" i="0">
              <a:solidFill>
                <a:sysClr val="windowText" lastClr="000000"/>
              </a:solidFill>
              <a:effectLst/>
              <a:latin typeface="+mn-lt"/>
              <a:ea typeface="+mn-ea"/>
              <a:cs typeface="+mn-cs"/>
            </a:rPr>
            <a:t>🧬 </a:t>
          </a:r>
          <a:r>
            <a:rPr lang="pl-PL" sz="1200" b="1" i="0">
              <a:solidFill>
                <a:sysClr val="windowText" lastClr="000000"/>
              </a:solidFill>
              <a:effectLst/>
              <a:latin typeface="+mn-lt"/>
              <a:ea typeface="+mn-ea"/>
              <a:cs typeface="+mn-cs"/>
            </a:rPr>
            <a:t>Nutrition (Auto-Fetched)</a:t>
          </a:r>
        </a:p>
        <a:p>
          <a:pPr marL="171450" indent="-171450">
            <a:buFont typeface="Arial" panose="020B0604020202020204" pitchFamily="34" charset="0"/>
            <a:buChar char="•"/>
          </a:pPr>
          <a:r>
            <a:rPr lang="pl-PL" sz="1200" b="0" i="0">
              <a:solidFill>
                <a:sysClr val="windowText" lastClr="000000"/>
              </a:solidFill>
              <a:effectLst/>
              <a:latin typeface="+mn-lt"/>
              <a:ea typeface="+mn-ea"/>
              <a:cs typeface="+mn-cs"/>
            </a:rPr>
            <a:t>Based on the </a:t>
          </a:r>
          <a:r>
            <a:rPr lang="pl-PL" sz="1200" b="1" i="0">
              <a:solidFill>
                <a:sysClr val="windowText" lastClr="000000"/>
              </a:solidFill>
              <a:effectLst/>
              <a:latin typeface="+mn-lt"/>
              <a:ea typeface="+mn-ea"/>
              <a:cs typeface="+mn-cs"/>
            </a:rPr>
            <a:t>Food Database</a:t>
          </a:r>
          <a:r>
            <a:rPr lang="pl-PL" sz="1200" b="0" i="0">
              <a:solidFill>
                <a:sysClr val="windowText" lastClr="000000"/>
              </a:solidFill>
              <a:effectLst/>
              <a:latin typeface="+mn-lt"/>
              <a:ea typeface="+mn-ea"/>
              <a:cs typeface="+mn-cs"/>
            </a:rPr>
            <a:t>, the following are </a:t>
          </a:r>
          <a:r>
            <a:rPr lang="pl-PL" sz="1200" b="1" i="0">
              <a:solidFill>
                <a:sysClr val="windowText" lastClr="000000"/>
              </a:solidFill>
              <a:effectLst/>
              <a:latin typeface="+mn-lt"/>
              <a:ea typeface="+mn-ea"/>
              <a:cs typeface="+mn-cs"/>
            </a:rPr>
            <a:t>automatically fetched</a:t>
          </a:r>
          <a:r>
            <a:rPr lang="pl-PL" sz="1200" b="0" i="0">
              <a:solidFill>
                <a:sysClr val="windowText" lastClr="000000"/>
              </a:solidFill>
              <a:effectLst/>
              <a:latin typeface="+mn-lt"/>
              <a:ea typeface="+mn-ea"/>
              <a:cs typeface="+mn-cs"/>
            </a:rPr>
            <a:t>:</a:t>
          </a:r>
        </a:p>
        <a:p>
          <a:pPr marL="628650" lvl="1" indent="-171450">
            <a:buFont typeface="Arial" panose="020B0604020202020204" pitchFamily="34" charset="0"/>
            <a:buChar char="•"/>
          </a:pPr>
          <a:r>
            <a:rPr lang="pl-PL" sz="1200" b="1" i="0">
              <a:solidFill>
                <a:sysClr val="windowText" lastClr="000000"/>
              </a:solidFill>
              <a:effectLst/>
              <a:latin typeface="+mn-lt"/>
              <a:ea typeface="+mn-ea"/>
              <a:cs typeface="+mn-cs"/>
            </a:rPr>
            <a:t>Protein (g)</a:t>
          </a:r>
          <a:endParaRPr lang="pl-PL" sz="1200" b="0" i="0">
            <a:solidFill>
              <a:sysClr val="windowText" lastClr="000000"/>
            </a:solidFill>
            <a:effectLst/>
            <a:latin typeface="+mn-lt"/>
            <a:ea typeface="+mn-ea"/>
            <a:cs typeface="+mn-cs"/>
          </a:endParaRPr>
        </a:p>
        <a:p>
          <a:pPr marL="628650" lvl="1" indent="-171450">
            <a:buFont typeface="Arial" panose="020B0604020202020204" pitchFamily="34" charset="0"/>
            <a:buChar char="•"/>
          </a:pPr>
          <a:r>
            <a:rPr lang="pl-PL" sz="1200" b="1" i="0">
              <a:solidFill>
                <a:sysClr val="windowText" lastClr="000000"/>
              </a:solidFill>
              <a:effectLst/>
              <a:latin typeface="+mn-lt"/>
              <a:ea typeface="+mn-ea"/>
              <a:cs typeface="+mn-cs"/>
            </a:rPr>
            <a:t>Carbs (g)</a:t>
          </a:r>
          <a:endParaRPr lang="pl-PL" sz="1200" b="0" i="0">
            <a:solidFill>
              <a:sysClr val="windowText" lastClr="000000"/>
            </a:solidFill>
            <a:effectLst/>
            <a:latin typeface="+mn-lt"/>
            <a:ea typeface="+mn-ea"/>
            <a:cs typeface="+mn-cs"/>
          </a:endParaRPr>
        </a:p>
        <a:p>
          <a:pPr marL="628650" lvl="1" indent="-171450">
            <a:buFont typeface="Arial" panose="020B0604020202020204" pitchFamily="34" charset="0"/>
            <a:buChar char="•"/>
          </a:pPr>
          <a:r>
            <a:rPr lang="pl-PL" sz="1200" b="1" i="0">
              <a:solidFill>
                <a:sysClr val="windowText" lastClr="000000"/>
              </a:solidFill>
              <a:effectLst/>
              <a:latin typeface="+mn-lt"/>
              <a:ea typeface="+mn-ea"/>
              <a:cs typeface="+mn-cs"/>
            </a:rPr>
            <a:t>Fibre (g)</a:t>
          </a:r>
          <a:endParaRPr lang="pl-PL" sz="1200" b="0" i="0">
            <a:solidFill>
              <a:sysClr val="windowText" lastClr="000000"/>
            </a:solidFill>
            <a:effectLst/>
            <a:latin typeface="+mn-lt"/>
            <a:ea typeface="+mn-ea"/>
            <a:cs typeface="+mn-cs"/>
          </a:endParaRPr>
        </a:p>
        <a:p>
          <a:pPr marL="628650" lvl="1" indent="-171450">
            <a:buFont typeface="Arial" panose="020B0604020202020204" pitchFamily="34" charset="0"/>
            <a:buChar char="•"/>
          </a:pPr>
          <a:r>
            <a:rPr lang="pl-PL" sz="1200" b="1" i="0">
              <a:solidFill>
                <a:sysClr val="windowText" lastClr="000000"/>
              </a:solidFill>
              <a:effectLst/>
              <a:latin typeface="+mn-lt"/>
              <a:ea typeface="+mn-ea"/>
              <a:cs typeface="+mn-cs"/>
            </a:rPr>
            <a:t>Fats (g)</a:t>
          </a:r>
          <a:endParaRPr lang="en-US" sz="1200" b="1" i="0">
            <a:solidFill>
              <a:sysClr val="windowText" lastClr="000000"/>
            </a:solidFill>
            <a:effectLst/>
            <a:latin typeface="+mn-lt"/>
            <a:ea typeface="+mn-ea"/>
            <a:cs typeface="+mn-cs"/>
          </a:endParaRPr>
        </a:p>
        <a:p>
          <a:pPr marL="628650" lvl="1" indent="-171450">
            <a:buFont typeface="Arial" panose="020B0604020202020204" pitchFamily="34" charset="0"/>
            <a:buChar char="•"/>
          </a:pPr>
          <a:endParaRPr lang="en-US" sz="1200" b="0" i="0">
            <a:solidFill>
              <a:sysClr val="windowText" lastClr="000000"/>
            </a:solidFill>
            <a:effectLst/>
            <a:latin typeface="+mn-lt"/>
            <a:ea typeface="+mn-ea"/>
            <a:cs typeface="+mn-cs"/>
          </a:endParaRPr>
        </a:p>
        <a:p>
          <a:pPr marL="0" lvl="1" indent="0" algn="l">
            <a:buFont typeface="Arial" panose="020B0604020202020204" pitchFamily="34" charset="0"/>
            <a:buNone/>
          </a:pPr>
          <a:r>
            <a:rPr lang="en-BI" sz="1200" b="1" i="0">
              <a:solidFill>
                <a:sysClr val="windowText" lastClr="000000"/>
              </a:solidFill>
              <a:effectLst/>
              <a:latin typeface="+mn-lt"/>
              <a:ea typeface="+mn-ea"/>
              <a:cs typeface="+mn-cs"/>
            </a:rPr>
            <a:t>🔥 </a:t>
          </a:r>
          <a:r>
            <a:rPr lang="pl-PL" sz="1200" b="1" i="0">
              <a:solidFill>
                <a:sysClr val="windowText" lastClr="000000"/>
              </a:solidFill>
              <a:effectLst/>
              <a:latin typeface="+mn-lt"/>
              <a:ea typeface="+mn-ea"/>
              <a:cs typeface="+mn-cs"/>
            </a:rPr>
            <a:t>Calories</a:t>
          </a:r>
        </a:p>
        <a:p>
          <a:r>
            <a:rPr lang="pl-PL" sz="1200" b="1" i="0">
              <a:solidFill>
                <a:sysClr val="windowText" lastClr="000000"/>
              </a:solidFill>
              <a:effectLst/>
              <a:latin typeface="+mn-lt"/>
              <a:ea typeface="+mn-ea"/>
              <a:cs typeface="+mn-cs"/>
            </a:rPr>
            <a:t>Automatically calculated</a:t>
          </a:r>
          <a:r>
            <a:rPr lang="pl-PL" sz="1200" b="0" i="0">
              <a:solidFill>
                <a:sysClr val="windowText" lastClr="000000"/>
              </a:solidFill>
              <a:effectLst/>
              <a:latin typeface="+mn-lt"/>
              <a:ea typeface="+mn-ea"/>
              <a:cs typeface="+mn-cs"/>
            </a:rPr>
            <a:t> from the Food Database, adjusted to your entered </a:t>
          </a:r>
          <a:r>
            <a:rPr lang="pl-PL" sz="1200" b="1" i="0">
              <a:solidFill>
                <a:sysClr val="windowText" lastClr="000000"/>
              </a:solidFill>
              <a:effectLst/>
              <a:latin typeface="+mn-lt"/>
              <a:ea typeface="+mn-ea"/>
              <a:cs typeface="+mn-cs"/>
            </a:rPr>
            <a:t>quantity</a:t>
          </a:r>
          <a:r>
            <a:rPr lang="pl-PL" sz="1200" b="0" i="0">
              <a:solidFill>
                <a:sysClr val="windowText" lastClr="000000"/>
              </a:solidFill>
              <a:effectLst/>
              <a:latin typeface="+mn-lt"/>
              <a:ea typeface="+mn-ea"/>
              <a:cs typeface="+mn-cs"/>
            </a:rPr>
            <a:t>.</a:t>
          </a:r>
          <a:endParaRPr lang="en-US" sz="1200" b="0" i="0">
            <a:solidFill>
              <a:sysClr val="windowText" lastClr="000000"/>
            </a:solidFill>
            <a:effectLst/>
            <a:latin typeface="+mn-lt"/>
            <a:ea typeface="+mn-ea"/>
            <a:cs typeface="+mn-cs"/>
          </a:endParaRPr>
        </a:p>
        <a:p>
          <a:endParaRPr lang="pl-PL" sz="1200" b="0" i="0">
            <a:solidFill>
              <a:sysClr val="windowText" lastClr="000000"/>
            </a:solidFill>
            <a:effectLst/>
            <a:latin typeface="+mn-lt"/>
            <a:ea typeface="+mn-ea"/>
            <a:cs typeface="+mn-cs"/>
          </a:endParaRPr>
        </a:p>
        <a:p>
          <a:r>
            <a:rPr lang="en-BI" sz="1200" b="1" i="0">
              <a:solidFill>
                <a:sysClr val="windowText" lastClr="000000"/>
              </a:solidFill>
              <a:effectLst/>
              <a:latin typeface="+mn-lt"/>
              <a:ea typeface="+mn-ea"/>
              <a:cs typeface="+mn-cs"/>
            </a:rPr>
            <a:t>😴 </a:t>
          </a:r>
          <a:r>
            <a:rPr lang="pl-PL" sz="1200" b="1" i="0">
              <a:solidFill>
                <a:sysClr val="windowText" lastClr="000000"/>
              </a:solidFill>
              <a:effectLst/>
              <a:latin typeface="+mn-lt"/>
              <a:ea typeface="+mn-ea"/>
              <a:cs typeface="+mn-cs"/>
            </a:rPr>
            <a:t>Sleep Hours</a:t>
          </a:r>
        </a:p>
        <a:p>
          <a:pPr marL="171450" indent="-171450">
            <a:buFont typeface="Arial" panose="020B0604020202020204" pitchFamily="34" charset="0"/>
            <a:buChar char="•"/>
          </a:pPr>
          <a:r>
            <a:rPr lang="pl-PL" sz="1200" b="0" i="0">
              <a:solidFill>
                <a:sysClr val="windowText" lastClr="000000"/>
              </a:solidFill>
              <a:effectLst/>
              <a:latin typeface="+mn-lt"/>
              <a:ea typeface="+mn-ea"/>
              <a:cs typeface="+mn-cs"/>
            </a:rPr>
            <a:t>Enter the </a:t>
          </a:r>
          <a:r>
            <a:rPr lang="pl-PL" sz="1200" b="1" i="0">
              <a:solidFill>
                <a:sysClr val="windowText" lastClr="000000"/>
              </a:solidFill>
              <a:effectLst/>
              <a:latin typeface="+mn-lt"/>
              <a:ea typeface="+mn-ea"/>
              <a:cs typeface="+mn-cs"/>
            </a:rPr>
            <a:t>hours of sleep</a:t>
          </a:r>
          <a:r>
            <a:rPr lang="pl-PL" sz="1200" b="0" i="0">
              <a:solidFill>
                <a:sysClr val="windowText" lastClr="000000"/>
              </a:solidFill>
              <a:effectLst/>
              <a:latin typeface="+mn-lt"/>
              <a:ea typeface="+mn-ea"/>
              <a:cs typeface="+mn-cs"/>
            </a:rPr>
            <a:t> for that date.</a:t>
          </a:r>
          <a:endParaRPr lang="en-US" sz="1200" b="0" i="0">
            <a:solidFill>
              <a:sysClr val="windowText" lastClr="000000"/>
            </a:solidFill>
            <a:effectLst/>
            <a:latin typeface="+mn-lt"/>
            <a:ea typeface="+mn-ea"/>
            <a:cs typeface="+mn-cs"/>
          </a:endParaRPr>
        </a:p>
        <a:p>
          <a:endParaRPr lang="pl-PL" sz="1200" b="0" i="0">
            <a:solidFill>
              <a:sysClr val="windowText" lastClr="000000"/>
            </a:solidFill>
            <a:effectLst/>
            <a:latin typeface="+mn-lt"/>
            <a:ea typeface="+mn-ea"/>
            <a:cs typeface="+mn-cs"/>
          </a:endParaRPr>
        </a:p>
        <a:p>
          <a:r>
            <a:rPr lang="en-BI" sz="1200" b="1" i="0">
              <a:solidFill>
                <a:sysClr val="windowText" lastClr="000000"/>
              </a:solidFill>
              <a:effectLst/>
              <a:latin typeface="+mn-lt"/>
              <a:ea typeface="+mn-ea"/>
              <a:cs typeface="+mn-cs"/>
            </a:rPr>
            <a:t>💧 </a:t>
          </a:r>
          <a:r>
            <a:rPr lang="pl-PL" sz="1200" b="1" i="0">
              <a:solidFill>
                <a:sysClr val="windowText" lastClr="000000"/>
              </a:solidFill>
              <a:effectLst/>
              <a:latin typeface="+mn-lt"/>
              <a:ea typeface="+mn-ea"/>
              <a:cs typeface="+mn-cs"/>
            </a:rPr>
            <a:t>Water Intake</a:t>
          </a:r>
        </a:p>
        <a:p>
          <a:pPr marL="171450" indent="-171450">
            <a:buFont typeface="Arial" panose="020B0604020202020204" pitchFamily="34" charset="0"/>
            <a:buChar char="•"/>
          </a:pPr>
          <a:r>
            <a:rPr lang="pl-PL" sz="1200" b="0" i="0">
              <a:solidFill>
                <a:sysClr val="windowText" lastClr="000000"/>
              </a:solidFill>
              <a:effectLst/>
              <a:latin typeface="+mn-lt"/>
              <a:ea typeface="+mn-ea"/>
              <a:cs typeface="+mn-cs"/>
            </a:rPr>
            <a:t>Enter </a:t>
          </a:r>
          <a:r>
            <a:rPr lang="pl-PL" sz="1200" b="1" i="0">
              <a:solidFill>
                <a:sysClr val="windowText" lastClr="000000"/>
              </a:solidFill>
              <a:effectLst/>
              <a:latin typeface="+mn-lt"/>
              <a:ea typeface="+mn-ea"/>
              <a:cs typeface="+mn-cs"/>
            </a:rPr>
            <a:t>water consumption (ml)</a:t>
          </a:r>
          <a:r>
            <a:rPr lang="pl-PL" sz="1200" b="0" i="0">
              <a:solidFill>
                <a:sysClr val="windowText" lastClr="000000"/>
              </a:solidFill>
              <a:effectLst/>
              <a:latin typeface="+mn-lt"/>
              <a:ea typeface="+mn-ea"/>
              <a:cs typeface="+mn-cs"/>
            </a:rPr>
            <a:t>.</a:t>
          </a:r>
        </a:p>
        <a:p>
          <a:pPr marL="171450" indent="-171450">
            <a:buFont typeface="Arial" panose="020B0604020202020204" pitchFamily="34" charset="0"/>
            <a:buChar char="•"/>
          </a:pPr>
          <a:r>
            <a:rPr lang="pl-PL" sz="1200" b="0" i="0">
              <a:solidFill>
                <a:sysClr val="windowText" lastClr="000000"/>
              </a:solidFill>
              <a:effectLst/>
              <a:latin typeface="+mn-lt"/>
              <a:ea typeface="+mn-ea"/>
              <a:cs typeface="+mn-cs"/>
            </a:rPr>
            <a:t>Conditional formatting will highlight your hydration:</a:t>
          </a:r>
        </a:p>
        <a:p>
          <a:pPr marL="628650" lvl="1" indent="-171450">
            <a:buFont typeface="Arial" panose="020B0604020202020204" pitchFamily="34" charset="0"/>
            <a:buChar char="•"/>
          </a:pPr>
          <a:r>
            <a:rPr lang="en-BI" sz="1200" b="0" i="0">
              <a:solidFill>
                <a:sysClr val="windowText" lastClr="000000"/>
              </a:solidFill>
              <a:effectLst/>
              <a:latin typeface="+mn-lt"/>
              <a:ea typeface="+mn-ea"/>
              <a:cs typeface="+mn-cs"/>
            </a:rPr>
            <a:t>🔵 </a:t>
          </a:r>
          <a:r>
            <a:rPr lang="pl-PL" sz="1200" b="1" i="0">
              <a:solidFill>
                <a:sysClr val="windowText" lastClr="000000"/>
              </a:solidFill>
              <a:effectLst/>
              <a:latin typeface="+mn-lt"/>
              <a:ea typeface="+mn-ea"/>
              <a:cs typeface="+mn-cs"/>
            </a:rPr>
            <a:t>Adequate</a:t>
          </a:r>
          <a:r>
            <a:rPr lang="pl-PL" sz="1200" b="0" i="0">
              <a:solidFill>
                <a:sysClr val="windowText" lastClr="000000"/>
              </a:solidFill>
              <a:effectLst/>
              <a:latin typeface="+mn-lt"/>
              <a:ea typeface="+mn-ea"/>
              <a:cs typeface="+mn-cs"/>
            </a:rPr>
            <a:t> = Meets daily target</a:t>
          </a:r>
        </a:p>
        <a:p>
          <a:pPr marL="628650" lvl="1" indent="-171450">
            <a:buFont typeface="Arial" panose="020B0604020202020204" pitchFamily="34" charset="0"/>
            <a:buChar char="•"/>
          </a:pPr>
          <a:r>
            <a:rPr lang="en-BI" sz="1200" b="0" i="0">
              <a:solidFill>
                <a:sysClr val="windowText" lastClr="000000"/>
              </a:solidFill>
              <a:effectLst/>
              <a:latin typeface="+mn-lt"/>
              <a:ea typeface="+mn-ea"/>
              <a:cs typeface="+mn-cs"/>
            </a:rPr>
            <a:t>🟡 </a:t>
          </a:r>
          <a:r>
            <a:rPr lang="pl-PL" sz="1200" b="1" i="0">
              <a:solidFill>
                <a:sysClr val="windowText" lastClr="000000"/>
              </a:solidFill>
              <a:effectLst/>
              <a:latin typeface="+mn-lt"/>
              <a:ea typeface="+mn-ea"/>
              <a:cs typeface="+mn-cs"/>
            </a:rPr>
            <a:t>Okay</a:t>
          </a:r>
          <a:r>
            <a:rPr lang="pl-PL" sz="1200" b="0" i="0">
              <a:solidFill>
                <a:sysClr val="windowText" lastClr="000000"/>
              </a:solidFill>
              <a:effectLst/>
              <a:latin typeface="+mn-lt"/>
              <a:ea typeface="+mn-ea"/>
              <a:cs typeface="+mn-cs"/>
            </a:rPr>
            <a:t> = Slightly below target</a:t>
          </a:r>
        </a:p>
        <a:p>
          <a:pPr marL="628650" lvl="1" indent="-171450">
            <a:buFont typeface="Arial" panose="020B0604020202020204" pitchFamily="34" charset="0"/>
            <a:buChar char="•"/>
          </a:pPr>
          <a:r>
            <a:rPr lang="en-BI" sz="1200" b="0" i="0">
              <a:solidFill>
                <a:sysClr val="windowText" lastClr="000000"/>
              </a:solidFill>
              <a:effectLst/>
              <a:latin typeface="+mn-lt"/>
              <a:ea typeface="+mn-ea"/>
              <a:cs typeface="+mn-cs"/>
            </a:rPr>
            <a:t>🔴 </a:t>
          </a:r>
          <a:r>
            <a:rPr lang="pl-PL" sz="1200" b="1" i="0">
              <a:solidFill>
                <a:sysClr val="windowText" lastClr="000000"/>
              </a:solidFill>
              <a:effectLst/>
              <a:latin typeface="+mn-lt"/>
              <a:ea typeface="+mn-ea"/>
              <a:cs typeface="+mn-cs"/>
            </a:rPr>
            <a:t>Low</a:t>
          </a:r>
          <a:r>
            <a:rPr lang="pl-PL" sz="1200" b="0" i="0">
              <a:solidFill>
                <a:sysClr val="windowText" lastClr="000000"/>
              </a:solidFill>
              <a:effectLst/>
              <a:latin typeface="+mn-lt"/>
              <a:ea typeface="+mn-ea"/>
              <a:cs typeface="+mn-cs"/>
            </a:rPr>
            <a:t> = Much below target</a:t>
          </a:r>
          <a:endParaRPr lang="en-US" sz="1200" b="0" i="0">
            <a:solidFill>
              <a:sysClr val="windowText" lastClr="000000"/>
            </a:solidFill>
            <a:effectLst/>
            <a:latin typeface="+mn-lt"/>
            <a:ea typeface="+mn-ea"/>
            <a:cs typeface="+mn-cs"/>
          </a:endParaRPr>
        </a:p>
        <a:p>
          <a:pPr lvl="1"/>
          <a:endParaRPr lang="pl-PL" sz="1200" b="0" i="0">
            <a:solidFill>
              <a:sysClr val="windowText" lastClr="000000"/>
            </a:solidFill>
            <a:effectLst/>
            <a:latin typeface="+mn-lt"/>
            <a:ea typeface="+mn-ea"/>
            <a:cs typeface="+mn-cs"/>
          </a:endParaRPr>
        </a:p>
        <a:p>
          <a:r>
            <a:rPr lang="en-BI" sz="1200" b="0" i="0">
              <a:solidFill>
                <a:sysClr val="windowText" lastClr="000000"/>
              </a:solidFill>
              <a:effectLst/>
              <a:latin typeface="+mn-lt"/>
              <a:ea typeface="+mn-ea"/>
              <a:cs typeface="+mn-cs"/>
            </a:rPr>
            <a:t>✅ </a:t>
          </a:r>
          <a:r>
            <a:rPr lang="pl-PL" sz="1200" b="1" i="0">
              <a:solidFill>
                <a:sysClr val="windowText" lastClr="000000"/>
              </a:solidFill>
              <a:effectLst/>
              <a:latin typeface="+mn-lt"/>
              <a:ea typeface="+mn-ea"/>
              <a:cs typeface="+mn-cs"/>
            </a:rPr>
            <a:t>Tip:</a:t>
          </a:r>
          <a:r>
            <a:rPr lang="pl-PL" sz="1200" b="0" i="0">
              <a:solidFill>
                <a:sysClr val="windowText" lastClr="000000"/>
              </a:solidFill>
              <a:effectLst/>
              <a:latin typeface="+mn-lt"/>
              <a:ea typeface="+mn-ea"/>
              <a:cs typeface="+mn-cs"/>
            </a:rPr>
            <a:t> Log your meals daily to monitor calorie and macronutrient intake alongside your workouts.</a:t>
          </a:r>
        </a:p>
      </xdr:txBody>
    </xdr:sp>
    <xdr:clientData/>
  </xdr:twoCellAnchor>
  <xdr:twoCellAnchor>
    <xdr:from>
      <xdr:col>3</xdr:col>
      <xdr:colOff>0</xdr:colOff>
      <xdr:row>155</xdr:row>
      <xdr:rowOff>0</xdr:rowOff>
    </xdr:from>
    <xdr:to>
      <xdr:col>12</xdr:col>
      <xdr:colOff>285750</xdr:colOff>
      <xdr:row>195</xdr:row>
      <xdr:rowOff>9525</xdr:rowOff>
    </xdr:to>
    <xdr:sp macro="" textlink="">
      <xdr:nvSpPr>
        <xdr:cNvPr id="8" name="Rectangle 7">
          <a:extLst>
            <a:ext uri="{FF2B5EF4-FFF2-40B4-BE49-F238E27FC236}">
              <a16:creationId xmlns:a16="http://schemas.microsoft.com/office/drawing/2014/main" id="{2F4B218E-77DC-45E3-AD64-173039B14DBB}"/>
            </a:ext>
          </a:extLst>
        </xdr:cNvPr>
        <xdr:cNvSpPr/>
      </xdr:nvSpPr>
      <xdr:spPr>
        <a:xfrm>
          <a:off x="2181225" y="26841450"/>
          <a:ext cx="6286500" cy="6867525"/>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BI" sz="1400" b="1" i="0">
              <a:solidFill>
                <a:sysClr val="windowText" lastClr="000000"/>
              </a:solidFill>
              <a:effectLst/>
              <a:latin typeface="+mn-lt"/>
              <a:ea typeface="+mn-ea"/>
              <a:cs typeface="+mn-cs"/>
            </a:rPr>
            <a:t>🏋️ </a:t>
          </a:r>
          <a:r>
            <a:rPr lang="pl-PL" sz="1400" b="1" i="0">
              <a:solidFill>
                <a:sysClr val="windowText" lastClr="000000"/>
              </a:solidFill>
              <a:effectLst/>
              <a:latin typeface="+mn-lt"/>
              <a:ea typeface="+mn-ea"/>
              <a:cs typeface="+mn-cs"/>
            </a:rPr>
            <a:t>Exercise Database – Instructions</a:t>
          </a:r>
          <a:endParaRPr lang="en-US" sz="1400" b="1" i="0">
            <a:solidFill>
              <a:sysClr val="windowText" lastClr="000000"/>
            </a:solidFill>
            <a:effectLst/>
            <a:latin typeface="+mn-lt"/>
            <a:ea typeface="+mn-ea"/>
            <a:cs typeface="+mn-cs"/>
          </a:endParaRPr>
        </a:p>
        <a:p>
          <a:endParaRPr lang="pl-PL" sz="1400" b="1" i="0">
            <a:solidFill>
              <a:sysClr val="windowText" lastClr="000000"/>
            </a:solidFill>
            <a:effectLst/>
            <a:latin typeface="+mn-lt"/>
            <a:ea typeface="+mn-ea"/>
            <a:cs typeface="+mn-cs"/>
          </a:endParaRPr>
        </a:p>
        <a:p>
          <a:r>
            <a:rPr lang="pl-PL" sz="1200" b="0" i="0">
              <a:solidFill>
                <a:sysClr val="windowText" lastClr="000000"/>
              </a:solidFill>
              <a:effectLst/>
              <a:latin typeface="+mn-lt"/>
              <a:ea typeface="+mn-ea"/>
              <a:cs typeface="+mn-cs"/>
            </a:rPr>
            <a:t>This sheet is the </a:t>
          </a:r>
          <a:r>
            <a:rPr lang="pl-PL" sz="1200" b="1" i="0">
              <a:solidFill>
                <a:sysClr val="windowText" lastClr="000000"/>
              </a:solidFill>
              <a:effectLst/>
              <a:latin typeface="+mn-lt"/>
              <a:ea typeface="+mn-ea"/>
              <a:cs typeface="+mn-cs"/>
            </a:rPr>
            <a:t>master database</a:t>
          </a:r>
          <a:r>
            <a:rPr lang="pl-PL" sz="1200" b="0" i="0">
              <a:solidFill>
                <a:sysClr val="windowText" lastClr="000000"/>
              </a:solidFill>
              <a:effectLst/>
              <a:latin typeface="+mn-lt"/>
              <a:ea typeface="+mn-ea"/>
              <a:cs typeface="+mn-cs"/>
            </a:rPr>
            <a:t> for all exercises. It powers the </a:t>
          </a:r>
          <a:r>
            <a:rPr lang="pl-PL" sz="1200" b="1" i="0">
              <a:solidFill>
                <a:sysClr val="windowText" lastClr="000000"/>
              </a:solidFill>
              <a:effectLst/>
              <a:latin typeface="+mn-lt"/>
              <a:ea typeface="+mn-ea"/>
              <a:cs typeface="+mn-cs"/>
            </a:rPr>
            <a:t>Workout/Activity sheet</a:t>
          </a:r>
          <a:r>
            <a:rPr lang="pl-PL" sz="1200" b="0" i="0">
              <a:solidFill>
                <a:sysClr val="windowText" lastClr="000000"/>
              </a:solidFill>
              <a:effectLst/>
              <a:latin typeface="+mn-lt"/>
              <a:ea typeface="+mn-ea"/>
              <a:cs typeface="+mn-cs"/>
            </a:rPr>
            <a:t> by automatically fetching exercise details and calories burned.</a:t>
          </a:r>
          <a:endParaRPr lang="en-US" sz="1200" b="0" i="0">
            <a:solidFill>
              <a:sysClr val="windowText" lastClr="000000"/>
            </a:solidFill>
            <a:effectLst/>
            <a:latin typeface="+mn-lt"/>
            <a:ea typeface="+mn-ea"/>
            <a:cs typeface="+mn-cs"/>
          </a:endParaRPr>
        </a:p>
        <a:p>
          <a:endParaRPr lang="pl-PL" sz="1200" b="0" i="0">
            <a:solidFill>
              <a:sysClr val="windowText" lastClr="000000"/>
            </a:solidFill>
            <a:effectLst/>
            <a:latin typeface="+mn-lt"/>
            <a:ea typeface="+mn-ea"/>
            <a:cs typeface="+mn-cs"/>
          </a:endParaRPr>
        </a:p>
        <a:p>
          <a:r>
            <a:rPr lang="en-BI" sz="1200" b="0" i="0">
              <a:solidFill>
                <a:sysClr val="windowText" lastClr="000000"/>
              </a:solidFill>
              <a:effectLst/>
              <a:latin typeface="+mn-lt"/>
              <a:ea typeface="+mn-ea"/>
              <a:cs typeface="+mn-cs"/>
            </a:rPr>
            <a:t>📋 </a:t>
          </a:r>
          <a:r>
            <a:rPr lang="pl-PL" sz="1200" b="1" i="0">
              <a:solidFill>
                <a:sysClr val="windowText" lastClr="000000"/>
              </a:solidFill>
              <a:effectLst/>
              <a:latin typeface="+mn-lt"/>
              <a:ea typeface="+mn-ea"/>
              <a:cs typeface="+mn-cs"/>
            </a:rPr>
            <a:t>Columns in Exercise Database</a:t>
          </a:r>
          <a:endParaRPr lang="en-US" sz="1200" b="1" i="0">
            <a:solidFill>
              <a:sysClr val="windowText" lastClr="000000"/>
            </a:solidFill>
            <a:effectLst/>
            <a:latin typeface="+mn-lt"/>
            <a:ea typeface="+mn-ea"/>
            <a:cs typeface="+mn-cs"/>
          </a:endParaRPr>
        </a:p>
        <a:p>
          <a:endParaRPr lang="pl-PL" sz="1200" b="0" i="0">
            <a:solidFill>
              <a:sysClr val="windowText" lastClr="000000"/>
            </a:solidFill>
            <a:effectLst/>
            <a:latin typeface="+mn-lt"/>
            <a:ea typeface="+mn-ea"/>
            <a:cs typeface="+mn-cs"/>
          </a:endParaRPr>
        </a:p>
        <a:p>
          <a:r>
            <a:rPr lang="pl-PL" sz="1200" b="1" i="0">
              <a:solidFill>
                <a:sysClr val="windowText" lastClr="000000"/>
              </a:solidFill>
              <a:effectLst/>
              <a:latin typeface="+mn-lt"/>
              <a:ea typeface="+mn-ea"/>
              <a:cs typeface="+mn-cs"/>
            </a:rPr>
            <a:t>Category</a:t>
          </a:r>
          <a:endParaRPr lang="pl-PL" sz="1200" b="0" i="0">
            <a:solidFill>
              <a:sysClr val="windowText" lastClr="000000"/>
            </a:solidFill>
            <a:effectLst/>
            <a:latin typeface="+mn-lt"/>
            <a:ea typeface="+mn-ea"/>
            <a:cs typeface="+mn-cs"/>
          </a:endParaRPr>
        </a:p>
        <a:p>
          <a:pPr marL="171450" indent="-171450">
            <a:buFont typeface="Arial" panose="020B0604020202020204" pitchFamily="34" charset="0"/>
            <a:buChar char="•"/>
          </a:pPr>
          <a:r>
            <a:rPr lang="pl-PL" sz="1200" b="0" i="0">
              <a:solidFill>
                <a:sysClr val="windowText" lastClr="000000"/>
              </a:solidFill>
              <a:effectLst/>
              <a:latin typeface="+mn-lt"/>
              <a:ea typeface="+mn-ea"/>
              <a:cs typeface="+mn-cs"/>
            </a:rPr>
            <a:t>Type of exercise (e.g., Cardio, Strength, Flexibility, Yoga, HIIT).</a:t>
          </a:r>
        </a:p>
        <a:p>
          <a:pPr marL="171450" indent="-171450">
            <a:buFont typeface="Arial" panose="020B0604020202020204" pitchFamily="34" charset="0"/>
            <a:buChar char="•"/>
          </a:pPr>
          <a:r>
            <a:rPr lang="pl-PL" sz="1200" b="0" i="0">
              <a:solidFill>
                <a:sysClr val="windowText" lastClr="000000"/>
              </a:solidFill>
              <a:effectLst/>
              <a:latin typeface="+mn-lt"/>
              <a:ea typeface="+mn-ea"/>
              <a:cs typeface="+mn-cs"/>
            </a:rPr>
            <a:t>Helps organize and makes drop-down lists easier.</a:t>
          </a:r>
          <a:endParaRPr lang="en-US" sz="1200" b="0" i="0">
            <a:solidFill>
              <a:sysClr val="windowText" lastClr="000000"/>
            </a:solidFill>
            <a:effectLst/>
            <a:latin typeface="+mn-lt"/>
            <a:ea typeface="+mn-ea"/>
            <a:cs typeface="+mn-cs"/>
          </a:endParaRPr>
        </a:p>
        <a:p>
          <a:endParaRPr lang="pl-PL" sz="1200" b="0" i="0">
            <a:solidFill>
              <a:sysClr val="windowText" lastClr="000000"/>
            </a:solidFill>
            <a:effectLst/>
            <a:latin typeface="+mn-lt"/>
            <a:ea typeface="+mn-ea"/>
            <a:cs typeface="+mn-cs"/>
          </a:endParaRPr>
        </a:p>
        <a:p>
          <a:r>
            <a:rPr lang="pl-PL" sz="1200" b="1" i="0">
              <a:solidFill>
                <a:sysClr val="windowText" lastClr="000000"/>
              </a:solidFill>
              <a:effectLst/>
              <a:latin typeface="+mn-lt"/>
              <a:ea typeface="+mn-ea"/>
              <a:cs typeface="+mn-cs"/>
            </a:rPr>
            <a:t>Exercise Name</a:t>
          </a:r>
          <a:endParaRPr lang="pl-PL" sz="1200" b="0" i="0">
            <a:solidFill>
              <a:sysClr val="windowText" lastClr="000000"/>
            </a:solidFill>
            <a:effectLst/>
            <a:latin typeface="+mn-lt"/>
            <a:ea typeface="+mn-ea"/>
            <a:cs typeface="+mn-cs"/>
          </a:endParaRPr>
        </a:p>
        <a:p>
          <a:pPr marL="171450" indent="-171450">
            <a:buFont typeface="Arial" panose="020B0604020202020204" pitchFamily="34" charset="0"/>
            <a:buChar char="•"/>
          </a:pPr>
          <a:r>
            <a:rPr lang="pl-PL" sz="1200" b="0" i="0">
              <a:solidFill>
                <a:sysClr val="windowText" lastClr="000000"/>
              </a:solidFill>
              <a:effectLst/>
              <a:latin typeface="+mn-lt"/>
              <a:ea typeface="+mn-ea"/>
              <a:cs typeface="+mn-cs"/>
            </a:rPr>
            <a:t>Name of the exercise (e.g., Running, Push-ups, Cycling).</a:t>
          </a:r>
        </a:p>
        <a:p>
          <a:pPr marL="171450" indent="-171450">
            <a:buFont typeface="Arial" panose="020B0604020202020204" pitchFamily="34" charset="0"/>
            <a:buChar char="•"/>
          </a:pPr>
          <a:r>
            <a:rPr lang="pl-PL" sz="1200" b="0" i="0">
              <a:solidFill>
                <a:sysClr val="windowText" lastClr="000000"/>
              </a:solidFill>
              <a:effectLst/>
              <a:latin typeface="+mn-lt"/>
              <a:ea typeface="+mn-ea"/>
              <a:cs typeface="+mn-cs"/>
            </a:rPr>
            <a:t>This list feeds the drop-down menu in the Workout sheet.</a:t>
          </a:r>
          <a:endParaRPr lang="en-US" sz="1200" b="0" i="0">
            <a:solidFill>
              <a:sysClr val="windowText" lastClr="000000"/>
            </a:solidFill>
            <a:effectLst/>
            <a:latin typeface="+mn-lt"/>
            <a:ea typeface="+mn-ea"/>
            <a:cs typeface="+mn-cs"/>
          </a:endParaRPr>
        </a:p>
        <a:p>
          <a:endParaRPr lang="pl-PL" sz="1200" b="0" i="0">
            <a:solidFill>
              <a:sysClr val="windowText" lastClr="000000"/>
            </a:solidFill>
            <a:effectLst/>
            <a:latin typeface="+mn-lt"/>
            <a:ea typeface="+mn-ea"/>
            <a:cs typeface="+mn-cs"/>
          </a:endParaRPr>
        </a:p>
        <a:p>
          <a:r>
            <a:rPr lang="pl-PL" sz="1200" b="1" i="0">
              <a:solidFill>
                <a:sysClr val="windowText" lastClr="000000"/>
              </a:solidFill>
              <a:effectLst/>
              <a:latin typeface="+mn-lt"/>
              <a:ea typeface="+mn-ea"/>
              <a:cs typeface="+mn-cs"/>
            </a:rPr>
            <a:t>Duration (per session or per 10/30 min)</a:t>
          </a:r>
          <a:endParaRPr lang="pl-PL" sz="1200" b="0" i="0">
            <a:solidFill>
              <a:sysClr val="windowText" lastClr="000000"/>
            </a:solidFill>
            <a:effectLst/>
            <a:latin typeface="+mn-lt"/>
            <a:ea typeface="+mn-ea"/>
            <a:cs typeface="+mn-cs"/>
          </a:endParaRPr>
        </a:p>
        <a:p>
          <a:pPr marL="171450" indent="-171450">
            <a:buFont typeface="Arial" panose="020B0604020202020204" pitchFamily="34" charset="0"/>
            <a:buChar char="•"/>
          </a:pPr>
          <a:r>
            <a:rPr lang="pl-PL" sz="1200" b="0" i="0">
              <a:solidFill>
                <a:sysClr val="windowText" lastClr="000000"/>
              </a:solidFill>
              <a:effectLst/>
              <a:latin typeface="+mn-lt"/>
              <a:ea typeface="+mn-ea"/>
              <a:cs typeface="+mn-cs"/>
            </a:rPr>
            <a:t>Standard duration for which calories burned is measured (e.g., 30 min for Running, 10 min for Jump Rope).</a:t>
          </a:r>
          <a:endParaRPr lang="en-US" sz="1200" b="0" i="0">
            <a:solidFill>
              <a:sysClr val="windowText" lastClr="000000"/>
            </a:solidFill>
            <a:effectLst/>
            <a:latin typeface="+mn-lt"/>
            <a:ea typeface="+mn-ea"/>
            <a:cs typeface="+mn-cs"/>
          </a:endParaRPr>
        </a:p>
        <a:p>
          <a:endParaRPr lang="pl-PL" sz="1200" b="0" i="0">
            <a:solidFill>
              <a:sysClr val="windowText" lastClr="000000"/>
            </a:solidFill>
            <a:effectLst/>
            <a:latin typeface="+mn-lt"/>
            <a:ea typeface="+mn-ea"/>
            <a:cs typeface="+mn-cs"/>
          </a:endParaRPr>
        </a:p>
        <a:p>
          <a:r>
            <a:rPr lang="pl-PL" sz="1200" b="1" i="0">
              <a:solidFill>
                <a:sysClr val="windowText" lastClr="000000"/>
              </a:solidFill>
              <a:effectLst/>
              <a:latin typeface="+mn-lt"/>
              <a:ea typeface="+mn-ea"/>
              <a:cs typeface="+mn-cs"/>
            </a:rPr>
            <a:t>Calories Burned (per set duration)</a:t>
          </a:r>
          <a:endParaRPr lang="pl-PL" sz="1200" b="0" i="0">
            <a:solidFill>
              <a:sysClr val="windowText" lastClr="000000"/>
            </a:solidFill>
            <a:effectLst/>
            <a:latin typeface="+mn-lt"/>
            <a:ea typeface="+mn-ea"/>
            <a:cs typeface="+mn-cs"/>
          </a:endParaRPr>
        </a:p>
        <a:p>
          <a:pPr marL="171450" indent="-171450">
            <a:buFont typeface="Arial" panose="020B0604020202020204" pitchFamily="34" charset="0"/>
            <a:buChar char="•"/>
          </a:pPr>
          <a:r>
            <a:rPr lang="pl-PL" sz="1200" b="0" i="0">
              <a:solidFill>
                <a:sysClr val="windowText" lastClr="000000"/>
              </a:solidFill>
              <a:effectLst/>
              <a:latin typeface="+mn-lt"/>
              <a:ea typeface="+mn-ea"/>
              <a:cs typeface="+mn-cs"/>
            </a:rPr>
            <a:t>Estimated calories burned for the given duration above.</a:t>
          </a:r>
        </a:p>
        <a:p>
          <a:pPr marL="171450" indent="-171450">
            <a:buFont typeface="Arial" panose="020B0604020202020204" pitchFamily="34" charset="0"/>
            <a:buChar char="•"/>
          </a:pPr>
          <a:r>
            <a:rPr lang="pl-PL" sz="1200" b="0" i="0">
              <a:solidFill>
                <a:sysClr val="windowText" lastClr="000000"/>
              </a:solidFill>
              <a:effectLst/>
              <a:latin typeface="+mn-lt"/>
              <a:ea typeface="+mn-ea"/>
              <a:cs typeface="+mn-cs"/>
            </a:rPr>
            <a:t>Example: Running (30 min) → 250 kcal.</a:t>
          </a:r>
          <a:endParaRPr lang="en-US" sz="1200" b="0" i="0">
            <a:solidFill>
              <a:sysClr val="windowText" lastClr="000000"/>
            </a:solidFill>
            <a:effectLst/>
            <a:latin typeface="+mn-lt"/>
            <a:ea typeface="+mn-ea"/>
            <a:cs typeface="+mn-cs"/>
          </a:endParaRPr>
        </a:p>
        <a:p>
          <a:endParaRPr lang="pl-PL" sz="1200" b="0" i="0">
            <a:solidFill>
              <a:sysClr val="windowText" lastClr="000000"/>
            </a:solidFill>
            <a:effectLst/>
            <a:latin typeface="+mn-lt"/>
            <a:ea typeface="+mn-ea"/>
            <a:cs typeface="+mn-cs"/>
          </a:endParaRPr>
        </a:p>
        <a:p>
          <a:r>
            <a:rPr lang="pl-PL" sz="1200" b="1" i="0">
              <a:solidFill>
                <a:sysClr val="windowText" lastClr="000000"/>
              </a:solidFill>
              <a:effectLst/>
              <a:latin typeface="+mn-lt"/>
              <a:ea typeface="+mn-ea"/>
              <a:cs typeface="+mn-cs"/>
            </a:rPr>
            <a:t>Notes (optional)</a:t>
          </a:r>
          <a:endParaRPr lang="pl-PL" sz="1200" b="0" i="0">
            <a:solidFill>
              <a:sysClr val="windowText" lastClr="000000"/>
            </a:solidFill>
            <a:effectLst/>
            <a:latin typeface="+mn-lt"/>
            <a:ea typeface="+mn-ea"/>
            <a:cs typeface="+mn-cs"/>
          </a:endParaRPr>
        </a:p>
        <a:p>
          <a:pPr marL="171450" indent="-171450">
            <a:buFont typeface="Arial" panose="020B0604020202020204" pitchFamily="34" charset="0"/>
            <a:buChar char="•"/>
          </a:pPr>
          <a:r>
            <a:rPr lang="pl-PL" sz="1200" b="0" i="0">
              <a:solidFill>
                <a:sysClr val="windowText" lastClr="000000"/>
              </a:solidFill>
              <a:effectLst/>
              <a:latin typeface="+mn-lt"/>
              <a:ea typeface="+mn-ea"/>
              <a:cs typeface="+mn-cs"/>
            </a:rPr>
            <a:t>Add details like sets/reps, distance, or equipment if needed.</a:t>
          </a:r>
          <a:endParaRPr lang="en-US" sz="1200" b="0" i="0">
            <a:solidFill>
              <a:sysClr val="windowText" lastClr="000000"/>
            </a:solidFill>
            <a:effectLst/>
            <a:latin typeface="+mn-lt"/>
            <a:ea typeface="+mn-ea"/>
            <a:cs typeface="+mn-cs"/>
          </a:endParaRPr>
        </a:p>
        <a:p>
          <a:endParaRPr lang="pl-PL" sz="1200" b="0" i="0">
            <a:solidFill>
              <a:sysClr val="windowText" lastClr="000000"/>
            </a:solidFill>
            <a:effectLst/>
            <a:latin typeface="+mn-lt"/>
            <a:ea typeface="+mn-ea"/>
            <a:cs typeface="+mn-cs"/>
          </a:endParaRPr>
        </a:p>
        <a:p>
          <a:r>
            <a:rPr lang="en-BI" sz="1200" b="0" i="0">
              <a:solidFill>
                <a:sysClr val="windowText" lastClr="000000"/>
              </a:solidFill>
              <a:effectLst/>
              <a:latin typeface="+mn-lt"/>
              <a:ea typeface="+mn-ea"/>
              <a:cs typeface="+mn-cs"/>
            </a:rPr>
            <a:t>📌 </a:t>
          </a:r>
          <a:r>
            <a:rPr lang="pl-PL" sz="1200" b="1" i="0">
              <a:solidFill>
                <a:sysClr val="windowText" lastClr="000000"/>
              </a:solidFill>
              <a:effectLst/>
              <a:latin typeface="+mn-lt"/>
              <a:ea typeface="+mn-ea"/>
              <a:cs typeface="+mn-cs"/>
            </a:rPr>
            <a:t>How to Maintain the Exercise Database</a:t>
          </a:r>
          <a:endParaRPr lang="pl-PL" sz="1200" b="0" i="0">
            <a:solidFill>
              <a:sysClr val="windowText" lastClr="000000"/>
            </a:solidFill>
            <a:effectLst/>
            <a:latin typeface="+mn-lt"/>
            <a:ea typeface="+mn-ea"/>
            <a:cs typeface="+mn-cs"/>
          </a:endParaRPr>
        </a:p>
        <a:p>
          <a:pPr marL="171450" indent="-171450">
            <a:buFont typeface="Arial" panose="020B0604020202020204" pitchFamily="34" charset="0"/>
            <a:buChar char="•"/>
          </a:pPr>
          <a:r>
            <a:rPr lang="pl-PL" sz="1200" b="0" i="0">
              <a:solidFill>
                <a:sysClr val="windowText" lastClr="000000"/>
              </a:solidFill>
              <a:effectLst/>
              <a:latin typeface="+mn-lt"/>
              <a:ea typeface="+mn-ea"/>
              <a:cs typeface="+mn-cs"/>
            </a:rPr>
            <a:t>Whenever you want to </a:t>
          </a:r>
          <a:r>
            <a:rPr lang="pl-PL" sz="1200" b="1" i="0">
              <a:solidFill>
                <a:sysClr val="windowText" lastClr="000000"/>
              </a:solidFill>
              <a:effectLst/>
              <a:latin typeface="+mn-lt"/>
              <a:ea typeface="+mn-ea"/>
              <a:cs typeface="+mn-cs"/>
            </a:rPr>
            <a:t>add a new exercise</a:t>
          </a:r>
          <a:r>
            <a:rPr lang="pl-PL" sz="1200" b="0" i="0">
              <a:solidFill>
                <a:sysClr val="windowText" lastClr="000000"/>
              </a:solidFill>
              <a:effectLst/>
              <a:latin typeface="+mn-lt"/>
              <a:ea typeface="+mn-ea"/>
              <a:cs typeface="+mn-cs"/>
            </a:rPr>
            <a:t>:</a:t>
          </a:r>
          <a:endParaRPr lang="en-US" sz="1200" b="0" i="0">
            <a:solidFill>
              <a:sysClr val="windowText" lastClr="000000"/>
            </a:solidFill>
            <a:effectLst/>
            <a:latin typeface="+mn-lt"/>
            <a:ea typeface="+mn-ea"/>
            <a:cs typeface="+mn-cs"/>
          </a:endParaRPr>
        </a:p>
        <a:p>
          <a:endParaRPr lang="pl-PL" sz="1200" b="0" i="0">
            <a:solidFill>
              <a:sysClr val="windowText" lastClr="000000"/>
            </a:solidFill>
            <a:effectLst/>
            <a:latin typeface="+mn-lt"/>
            <a:ea typeface="+mn-ea"/>
            <a:cs typeface="+mn-cs"/>
          </a:endParaRPr>
        </a:p>
        <a:p>
          <a:pPr marL="685800" lvl="1" indent="-228600">
            <a:buFont typeface="+mj-lt"/>
            <a:buAutoNum type="arabicPeriod"/>
          </a:pPr>
          <a:r>
            <a:rPr lang="pl-PL" sz="1200" b="0" i="0">
              <a:solidFill>
                <a:sysClr val="windowText" lastClr="000000"/>
              </a:solidFill>
              <a:effectLst/>
              <a:latin typeface="+mn-lt"/>
              <a:ea typeface="+mn-ea"/>
              <a:cs typeface="+mn-cs"/>
            </a:rPr>
            <a:t>Enter its category.</a:t>
          </a:r>
        </a:p>
        <a:p>
          <a:pPr marL="685800" lvl="1" indent="-228600">
            <a:buFont typeface="+mj-lt"/>
            <a:buAutoNum type="arabicPeriod"/>
          </a:pPr>
          <a:r>
            <a:rPr lang="pl-PL" sz="1200" b="0" i="0">
              <a:solidFill>
                <a:sysClr val="windowText" lastClr="000000"/>
              </a:solidFill>
              <a:effectLst/>
              <a:latin typeface="+mn-lt"/>
              <a:ea typeface="+mn-ea"/>
              <a:cs typeface="+mn-cs"/>
            </a:rPr>
            <a:t>Enter the exercise name.</a:t>
          </a:r>
        </a:p>
        <a:p>
          <a:pPr marL="685800" lvl="1" indent="-228600">
            <a:buFont typeface="+mj-lt"/>
            <a:buAutoNum type="arabicPeriod"/>
          </a:pPr>
          <a:r>
            <a:rPr lang="pl-PL" sz="1200" b="0" i="0">
              <a:solidFill>
                <a:sysClr val="windowText" lastClr="000000"/>
              </a:solidFill>
              <a:effectLst/>
              <a:latin typeface="+mn-lt"/>
              <a:ea typeface="+mn-ea"/>
              <a:cs typeface="+mn-cs"/>
            </a:rPr>
            <a:t>Define the standard duration for that exercise.</a:t>
          </a:r>
        </a:p>
        <a:p>
          <a:pPr marL="685800" lvl="1" indent="-228600">
            <a:buFont typeface="+mj-lt"/>
            <a:buAutoNum type="arabicPeriod"/>
          </a:pPr>
          <a:r>
            <a:rPr lang="pl-PL" sz="1200" b="0" i="0">
              <a:solidFill>
                <a:sysClr val="windowText" lastClr="000000"/>
              </a:solidFill>
              <a:effectLst/>
              <a:latin typeface="+mn-lt"/>
              <a:ea typeface="+mn-ea"/>
              <a:cs typeface="+mn-cs"/>
            </a:rPr>
            <a:t>Enter the calories burned for that duration.</a:t>
          </a:r>
        </a:p>
        <a:p>
          <a:pPr marL="685800" lvl="1" indent="-228600">
            <a:buFont typeface="+mj-lt"/>
            <a:buAutoNum type="arabicPeriod"/>
          </a:pPr>
          <a:r>
            <a:rPr lang="pl-PL" sz="1200" b="0" i="0">
              <a:solidFill>
                <a:sysClr val="windowText" lastClr="000000"/>
              </a:solidFill>
              <a:effectLst/>
              <a:latin typeface="+mn-lt"/>
              <a:ea typeface="+mn-ea"/>
              <a:cs typeface="+mn-cs"/>
            </a:rPr>
            <a:t>(Optional) Add notes such as sets/reps or distance.</a:t>
          </a:r>
          <a:endParaRPr lang="en-US" sz="1200" b="0" i="0">
            <a:solidFill>
              <a:sysClr val="windowText" lastClr="000000"/>
            </a:solidFill>
            <a:effectLst/>
            <a:latin typeface="+mn-lt"/>
            <a:ea typeface="+mn-ea"/>
            <a:cs typeface="+mn-cs"/>
          </a:endParaRPr>
        </a:p>
        <a:p>
          <a:pPr lvl="1"/>
          <a:endParaRPr lang="pl-PL" sz="1200" b="0" i="0">
            <a:solidFill>
              <a:sysClr val="windowText" lastClr="000000"/>
            </a:solidFill>
            <a:effectLst/>
            <a:latin typeface="+mn-lt"/>
            <a:ea typeface="+mn-ea"/>
            <a:cs typeface="+mn-cs"/>
          </a:endParaRPr>
        </a:p>
        <a:p>
          <a:pPr marL="171450" indent="-171450">
            <a:buFont typeface="Arial" panose="020B0604020202020204" pitchFamily="34" charset="0"/>
            <a:buChar char="•"/>
          </a:pPr>
          <a:r>
            <a:rPr lang="pl-PL" sz="1200" b="0" i="0">
              <a:solidFill>
                <a:sysClr val="windowText" lastClr="000000"/>
              </a:solidFill>
              <a:effectLst/>
              <a:latin typeface="+mn-lt"/>
              <a:ea typeface="+mn-ea"/>
              <a:cs typeface="+mn-cs"/>
            </a:rPr>
            <a:t>The </a:t>
          </a:r>
          <a:r>
            <a:rPr lang="pl-PL" sz="1200" b="1" i="0">
              <a:solidFill>
                <a:sysClr val="windowText" lastClr="000000"/>
              </a:solidFill>
              <a:effectLst/>
              <a:latin typeface="+mn-lt"/>
              <a:ea typeface="+mn-ea"/>
              <a:cs typeface="+mn-cs"/>
            </a:rPr>
            <a:t>Workout sheet</a:t>
          </a:r>
          <a:r>
            <a:rPr lang="pl-PL" sz="1200" b="0" i="0">
              <a:solidFill>
                <a:sysClr val="windowText" lastClr="000000"/>
              </a:solidFill>
              <a:effectLst/>
              <a:latin typeface="+mn-lt"/>
              <a:ea typeface="+mn-ea"/>
              <a:cs typeface="+mn-cs"/>
            </a:rPr>
            <a:t> will automatically pick it up in the drop-down and calculations.</a:t>
          </a:r>
          <a:endParaRPr lang="en-US" sz="1200" b="0" i="0">
            <a:solidFill>
              <a:sysClr val="windowText" lastClr="000000"/>
            </a:solidFill>
            <a:effectLst/>
            <a:latin typeface="+mn-lt"/>
            <a:ea typeface="+mn-ea"/>
            <a:cs typeface="+mn-cs"/>
          </a:endParaRPr>
        </a:p>
        <a:p>
          <a:endParaRPr lang="pl-PL" sz="1200" b="0" i="0">
            <a:solidFill>
              <a:sysClr val="windowText" lastClr="000000"/>
            </a:solidFill>
            <a:effectLst/>
            <a:latin typeface="+mn-lt"/>
            <a:ea typeface="+mn-ea"/>
            <a:cs typeface="+mn-cs"/>
          </a:endParaRPr>
        </a:p>
        <a:p>
          <a:r>
            <a:rPr lang="en-BI" sz="1200" b="0" i="0">
              <a:solidFill>
                <a:sysClr val="windowText" lastClr="000000"/>
              </a:solidFill>
              <a:effectLst/>
              <a:latin typeface="+mn-lt"/>
              <a:ea typeface="+mn-ea"/>
              <a:cs typeface="+mn-cs"/>
            </a:rPr>
            <a:t>✅ </a:t>
          </a:r>
          <a:r>
            <a:rPr lang="pl-PL" sz="1200" b="0" i="0">
              <a:solidFill>
                <a:sysClr val="windowText" lastClr="000000"/>
              </a:solidFill>
              <a:effectLst/>
              <a:latin typeface="+mn-lt"/>
              <a:ea typeface="+mn-ea"/>
              <a:cs typeface="+mn-cs"/>
            </a:rPr>
            <a:t>Keeping this updated ensures your </a:t>
          </a:r>
          <a:r>
            <a:rPr lang="pl-PL" sz="1200" b="1" i="0">
              <a:solidFill>
                <a:sysClr val="windowText" lastClr="000000"/>
              </a:solidFill>
              <a:effectLst/>
              <a:latin typeface="+mn-lt"/>
              <a:ea typeface="+mn-ea"/>
              <a:cs typeface="+mn-cs"/>
            </a:rPr>
            <a:t>exercise tracking stays accurate, flexible, and personalized</a:t>
          </a:r>
          <a:r>
            <a:rPr lang="pl-PL" sz="1200" b="0" i="0">
              <a:solidFill>
                <a:sysClr val="windowText" lastClr="000000"/>
              </a:solidFill>
              <a:effectLst/>
              <a:latin typeface="+mn-lt"/>
              <a:ea typeface="+mn-ea"/>
              <a:cs typeface="+mn-cs"/>
            </a:rPr>
            <a:t>.</a:t>
          </a:r>
        </a:p>
      </xdr:txBody>
    </xdr:sp>
    <xdr:clientData/>
  </xdr:twoCellAnchor>
  <xdr:twoCellAnchor>
    <xdr:from>
      <xdr:col>0</xdr:col>
      <xdr:colOff>60960</xdr:colOff>
      <xdr:row>0</xdr:row>
      <xdr:rowOff>76200</xdr:rowOff>
    </xdr:from>
    <xdr:to>
      <xdr:col>3</xdr:col>
      <xdr:colOff>129540</xdr:colOff>
      <xdr:row>32</xdr:row>
      <xdr:rowOff>137160</xdr:rowOff>
    </xdr:to>
    <xdr:grpSp>
      <xdr:nvGrpSpPr>
        <xdr:cNvPr id="26" name="Group 25">
          <a:extLst>
            <a:ext uri="{FF2B5EF4-FFF2-40B4-BE49-F238E27FC236}">
              <a16:creationId xmlns:a16="http://schemas.microsoft.com/office/drawing/2014/main" id="{29CFDE86-2E2C-170A-E37F-154E85D56753}"/>
            </a:ext>
          </a:extLst>
        </xdr:cNvPr>
        <xdr:cNvGrpSpPr/>
      </xdr:nvGrpSpPr>
      <xdr:grpSpPr>
        <a:xfrm>
          <a:off x="57150" y="76200"/>
          <a:ext cx="2257425" cy="5810250"/>
          <a:chOff x="60960" y="175260"/>
          <a:chExt cx="1950720" cy="4630420"/>
        </a:xfrm>
      </xdr:grpSpPr>
      <xdr:sp macro="[0]!Sheet1.GoToSheet" textlink="">
        <xdr:nvSpPr>
          <xdr:cNvPr id="17" name="Nav_Instructions">
            <a:extLst>
              <a:ext uri="{FF2B5EF4-FFF2-40B4-BE49-F238E27FC236}">
                <a16:creationId xmlns:a16="http://schemas.microsoft.com/office/drawing/2014/main" id="{BCA6D0F8-A9CF-A2C0-D426-4C293A81B826}"/>
              </a:ext>
            </a:extLst>
          </xdr:cNvPr>
          <xdr:cNvSpPr/>
        </xdr:nvSpPr>
        <xdr:spPr>
          <a:xfrm>
            <a:off x="63500" y="7035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Instructions</a:t>
            </a:r>
            <a:endParaRPr lang="LID4096" sz="1400" b="1">
              <a:solidFill>
                <a:srgbClr val="000000"/>
              </a:solidFill>
              <a:latin typeface="Amasis MT Pro Medium" panose="02040604050005020304" pitchFamily="18" charset="0"/>
            </a:endParaRPr>
          </a:p>
        </xdr:txBody>
      </xdr:sp>
      <xdr:sp macro="[0]!Sheet1.GoToSheet" textlink="">
        <xdr:nvSpPr>
          <xdr:cNvPr id="18" name="Nav_Body Measurements Log">
            <a:extLst>
              <a:ext uri="{FF2B5EF4-FFF2-40B4-BE49-F238E27FC236}">
                <a16:creationId xmlns:a16="http://schemas.microsoft.com/office/drawing/2014/main" id="{94836A4B-4617-481F-5C2D-D1BA0C68111C}"/>
              </a:ext>
            </a:extLst>
          </xdr:cNvPr>
          <xdr:cNvSpPr/>
        </xdr:nvSpPr>
        <xdr:spPr>
          <a:xfrm>
            <a:off x="63500" y="12242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Body Measurements Log</a:t>
            </a:r>
            <a:endParaRPr lang="LID4096" sz="1400" b="1">
              <a:solidFill>
                <a:srgbClr val="000000"/>
              </a:solidFill>
              <a:latin typeface="Amasis MT Pro Medium" panose="02040604050005020304" pitchFamily="18" charset="0"/>
            </a:endParaRPr>
          </a:p>
        </xdr:txBody>
      </xdr:sp>
      <xdr:sp macro="[0]!Sheet1.GoToSheet" textlink="">
        <xdr:nvSpPr>
          <xdr:cNvPr id="19" name="Nav_Workout Log">
            <a:extLst>
              <a:ext uri="{FF2B5EF4-FFF2-40B4-BE49-F238E27FC236}">
                <a16:creationId xmlns:a16="http://schemas.microsoft.com/office/drawing/2014/main" id="{2C421541-E4FE-E1A1-AE23-F3586F45180C}"/>
              </a:ext>
            </a:extLst>
          </xdr:cNvPr>
          <xdr:cNvSpPr/>
        </xdr:nvSpPr>
        <xdr:spPr>
          <a:xfrm>
            <a:off x="63500" y="17449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Workout Log</a:t>
            </a:r>
            <a:endParaRPr lang="LID4096" sz="1400" b="1">
              <a:solidFill>
                <a:srgbClr val="000000"/>
              </a:solidFill>
              <a:latin typeface="Amasis MT Pro Medium" panose="02040604050005020304" pitchFamily="18" charset="0"/>
            </a:endParaRPr>
          </a:p>
        </xdr:txBody>
      </xdr:sp>
      <xdr:sp macro="[0]!Sheet1.GoToSheet" textlink="">
        <xdr:nvSpPr>
          <xdr:cNvPr id="20" name="Nav_Diet Plan Log">
            <a:extLst>
              <a:ext uri="{FF2B5EF4-FFF2-40B4-BE49-F238E27FC236}">
                <a16:creationId xmlns:a16="http://schemas.microsoft.com/office/drawing/2014/main" id="{18C314C5-D760-735C-0912-5553CAB4CA01}"/>
              </a:ext>
            </a:extLst>
          </xdr:cNvPr>
          <xdr:cNvSpPr/>
        </xdr:nvSpPr>
        <xdr:spPr>
          <a:xfrm>
            <a:off x="63500" y="22656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Diet Plan Log</a:t>
            </a:r>
            <a:endParaRPr lang="LID4096" sz="1400" b="1">
              <a:solidFill>
                <a:srgbClr val="000000"/>
              </a:solidFill>
              <a:latin typeface="Amasis MT Pro Medium" panose="02040604050005020304" pitchFamily="18" charset="0"/>
            </a:endParaRPr>
          </a:p>
        </xdr:txBody>
      </xdr:sp>
      <xdr:sp macro="[0]!Sheet1.GoToSheet" textlink="">
        <xdr:nvSpPr>
          <xdr:cNvPr id="21" name="Nav_FoodDB">
            <a:extLst>
              <a:ext uri="{FF2B5EF4-FFF2-40B4-BE49-F238E27FC236}">
                <a16:creationId xmlns:a16="http://schemas.microsoft.com/office/drawing/2014/main" id="{71D47823-C01E-230A-D737-559D042648E7}"/>
              </a:ext>
            </a:extLst>
          </xdr:cNvPr>
          <xdr:cNvSpPr/>
        </xdr:nvSpPr>
        <xdr:spPr>
          <a:xfrm>
            <a:off x="63500" y="27863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FoodDB</a:t>
            </a:r>
            <a:endParaRPr lang="LID4096" sz="1400" b="1">
              <a:solidFill>
                <a:srgbClr val="000000"/>
              </a:solidFill>
              <a:latin typeface="Amasis MT Pro Medium" panose="02040604050005020304" pitchFamily="18" charset="0"/>
            </a:endParaRPr>
          </a:p>
        </xdr:txBody>
      </xdr:sp>
      <xdr:sp macro="[0]!Sheet1.GoToSheet" textlink="">
        <xdr:nvSpPr>
          <xdr:cNvPr id="22" name="Nav_ExerciseDB">
            <a:extLst>
              <a:ext uri="{FF2B5EF4-FFF2-40B4-BE49-F238E27FC236}">
                <a16:creationId xmlns:a16="http://schemas.microsoft.com/office/drawing/2014/main" id="{74C9BC6F-9AED-8C08-F57D-22C945E0B960}"/>
              </a:ext>
            </a:extLst>
          </xdr:cNvPr>
          <xdr:cNvSpPr/>
        </xdr:nvSpPr>
        <xdr:spPr>
          <a:xfrm>
            <a:off x="63500" y="33070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ExerciseDB</a:t>
            </a:r>
            <a:endParaRPr lang="LID4096" sz="1400" b="1">
              <a:solidFill>
                <a:srgbClr val="000000"/>
              </a:solidFill>
              <a:latin typeface="Amasis MT Pro Medium" panose="02040604050005020304" pitchFamily="18" charset="0"/>
            </a:endParaRPr>
          </a:p>
        </xdr:txBody>
      </xdr:sp>
      <xdr:sp macro="[0]!Sheet1.GoToSheet" textlink="">
        <xdr:nvSpPr>
          <xdr:cNvPr id="23" name="Nav_Weekly Progress">
            <a:extLst>
              <a:ext uri="{FF2B5EF4-FFF2-40B4-BE49-F238E27FC236}">
                <a16:creationId xmlns:a16="http://schemas.microsoft.com/office/drawing/2014/main" id="{BCA99032-6DD7-767E-7564-17C0836C2B66}"/>
              </a:ext>
            </a:extLst>
          </xdr:cNvPr>
          <xdr:cNvSpPr/>
        </xdr:nvSpPr>
        <xdr:spPr>
          <a:xfrm>
            <a:off x="63500" y="38277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Weekly Progress</a:t>
            </a:r>
            <a:endParaRPr lang="LID4096" sz="1400" b="1">
              <a:solidFill>
                <a:srgbClr val="000000"/>
              </a:solidFill>
              <a:latin typeface="Amasis MT Pro Medium" panose="02040604050005020304" pitchFamily="18" charset="0"/>
            </a:endParaRPr>
          </a:p>
        </xdr:txBody>
      </xdr:sp>
      <xdr:sp macro="[0]!Sheet1.GoToSheet" textlink="">
        <xdr:nvSpPr>
          <xdr:cNvPr id="24" name="Nav_Dashboard">
            <a:extLst>
              <a:ext uri="{FF2B5EF4-FFF2-40B4-BE49-F238E27FC236}">
                <a16:creationId xmlns:a16="http://schemas.microsoft.com/office/drawing/2014/main" id="{D94F75F0-96A6-DCA5-9651-314079FAF1E3}"/>
              </a:ext>
            </a:extLst>
          </xdr:cNvPr>
          <xdr:cNvSpPr/>
        </xdr:nvSpPr>
        <xdr:spPr>
          <a:xfrm>
            <a:off x="63500" y="43484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Dashboard</a:t>
            </a:r>
            <a:endParaRPr lang="LID4096" sz="1400" b="1">
              <a:solidFill>
                <a:srgbClr val="000000"/>
              </a:solidFill>
              <a:latin typeface="Amasis MT Pro Medium" panose="02040604050005020304" pitchFamily="18" charset="0"/>
            </a:endParaRPr>
          </a:p>
        </xdr:txBody>
      </xdr:sp>
      <xdr:sp macro="GoToSheet" textlink="">
        <xdr:nvSpPr>
          <xdr:cNvPr id="25" name="Nav_Body Measurements Log">
            <a:extLst>
              <a:ext uri="{FF2B5EF4-FFF2-40B4-BE49-F238E27FC236}">
                <a16:creationId xmlns:a16="http://schemas.microsoft.com/office/drawing/2014/main" id="{2C6A364F-F6D2-4094-8A4D-A78E1A4AFEB4}"/>
              </a:ext>
            </a:extLst>
          </xdr:cNvPr>
          <xdr:cNvSpPr/>
        </xdr:nvSpPr>
        <xdr:spPr>
          <a:xfrm>
            <a:off x="60960" y="175260"/>
            <a:ext cx="195072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800" b="1">
                <a:solidFill>
                  <a:srgbClr val="000000"/>
                </a:solidFill>
                <a:latin typeface="Amasis MT Pro Medium" panose="02040604050005020304" pitchFamily="18" charset="0"/>
              </a:rPr>
              <a:t>Navigation</a:t>
            </a:r>
            <a:r>
              <a:rPr lang="en-US" sz="1800" b="1" baseline="0">
                <a:solidFill>
                  <a:srgbClr val="000000"/>
                </a:solidFill>
                <a:latin typeface="Amasis MT Pro Medium" panose="02040604050005020304" pitchFamily="18" charset="0"/>
              </a:rPr>
              <a:t> Panel</a:t>
            </a:r>
            <a:endParaRPr lang="LID4096" sz="1800" b="1">
              <a:solidFill>
                <a:srgbClr val="000000"/>
              </a:solidFill>
              <a:latin typeface="Amasis MT Pro Medium" panose="02040604050005020304" pitchFamily="18" charset="0"/>
            </a:endParaRPr>
          </a:p>
        </xdr:txBody>
      </xdr:sp>
    </xdr:grpSp>
    <xdr:clientData/>
  </xdr:twoCellAnchor>
  <xdr:twoCellAnchor>
    <xdr:from>
      <xdr:col>3</xdr:col>
      <xdr:colOff>0</xdr:colOff>
      <xdr:row>196</xdr:row>
      <xdr:rowOff>68580</xdr:rowOff>
    </xdr:from>
    <xdr:to>
      <xdr:col>12</xdr:col>
      <xdr:colOff>281940</xdr:colOff>
      <xdr:row>239</xdr:row>
      <xdr:rowOff>112395</xdr:rowOff>
    </xdr:to>
    <xdr:sp macro="" textlink="">
      <xdr:nvSpPr>
        <xdr:cNvPr id="12" name="Rectangle 11">
          <a:extLst>
            <a:ext uri="{FF2B5EF4-FFF2-40B4-BE49-F238E27FC236}">
              <a16:creationId xmlns:a16="http://schemas.microsoft.com/office/drawing/2014/main" id="{7DD54D4D-0A28-4D18-80D8-86ADCE271873}"/>
            </a:ext>
          </a:extLst>
        </xdr:cNvPr>
        <xdr:cNvSpPr/>
      </xdr:nvSpPr>
      <xdr:spPr>
        <a:xfrm>
          <a:off x="2181225" y="33939480"/>
          <a:ext cx="6282690" cy="7416165"/>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BI" sz="1400" b="1" i="0">
              <a:solidFill>
                <a:sysClr val="windowText" lastClr="000000"/>
              </a:solidFill>
              <a:effectLst/>
              <a:latin typeface="+mn-lt"/>
              <a:ea typeface="+mn-ea"/>
              <a:cs typeface="+mn-cs"/>
            </a:rPr>
            <a:t>🗂️ </a:t>
          </a:r>
          <a:r>
            <a:rPr lang="pl-PL" sz="1400" b="1" i="0">
              <a:solidFill>
                <a:sysClr val="windowText" lastClr="000000"/>
              </a:solidFill>
              <a:effectLst/>
              <a:latin typeface="+mn-lt"/>
              <a:ea typeface="+mn-ea"/>
              <a:cs typeface="+mn-cs"/>
            </a:rPr>
            <a:t>Food Database – Instructions</a:t>
          </a:r>
          <a:endParaRPr lang="en-US" sz="1400" b="1" i="0">
            <a:solidFill>
              <a:sysClr val="windowText" lastClr="000000"/>
            </a:solidFill>
            <a:effectLst/>
            <a:latin typeface="+mn-lt"/>
            <a:ea typeface="+mn-ea"/>
            <a:cs typeface="+mn-cs"/>
          </a:endParaRPr>
        </a:p>
        <a:p>
          <a:endParaRPr lang="pl-PL" sz="1400" b="1" i="0">
            <a:solidFill>
              <a:sysClr val="windowText" lastClr="000000"/>
            </a:solidFill>
            <a:effectLst/>
            <a:latin typeface="+mn-lt"/>
            <a:ea typeface="+mn-ea"/>
            <a:cs typeface="+mn-cs"/>
          </a:endParaRPr>
        </a:p>
        <a:p>
          <a:r>
            <a:rPr lang="pl-PL" sz="1200" b="0" i="0">
              <a:solidFill>
                <a:sysClr val="windowText" lastClr="000000"/>
              </a:solidFill>
              <a:effectLst/>
              <a:latin typeface="+mn-lt"/>
              <a:ea typeface="+mn-ea"/>
              <a:cs typeface="+mn-cs"/>
            </a:rPr>
            <a:t>This sheet is the </a:t>
          </a:r>
          <a:r>
            <a:rPr lang="pl-PL" sz="1200" b="1" i="0">
              <a:solidFill>
                <a:sysClr val="windowText" lastClr="000000"/>
              </a:solidFill>
              <a:effectLst/>
              <a:latin typeface="+mn-lt"/>
              <a:ea typeface="+mn-ea"/>
              <a:cs typeface="+mn-cs"/>
            </a:rPr>
            <a:t>master database</a:t>
          </a:r>
          <a:r>
            <a:rPr lang="pl-PL" sz="1200" b="0" i="0">
              <a:solidFill>
                <a:sysClr val="windowText" lastClr="000000"/>
              </a:solidFill>
              <a:effectLst/>
              <a:latin typeface="+mn-lt"/>
              <a:ea typeface="+mn-ea"/>
              <a:cs typeface="+mn-cs"/>
            </a:rPr>
            <a:t> for all foods. It powers the </a:t>
          </a:r>
          <a:r>
            <a:rPr lang="pl-PL" sz="1200" b="1" i="0">
              <a:solidFill>
                <a:sysClr val="windowText" lastClr="000000"/>
              </a:solidFill>
              <a:effectLst/>
              <a:latin typeface="+mn-lt"/>
              <a:ea typeface="+mn-ea"/>
              <a:cs typeface="+mn-cs"/>
            </a:rPr>
            <a:t>Diet Plan sheet</a:t>
          </a:r>
          <a:r>
            <a:rPr lang="pl-PL" sz="1200" b="0" i="0">
              <a:solidFill>
                <a:sysClr val="windowText" lastClr="000000"/>
              </a:solidFill>
              <a:effectLst/>
              <a:latin typeface="+mn-lt"/>
              <a:ea typeface="+mn-ea"/>
              <a:cs typeface="+mn-cs"/>
            </a:rPr>
            <a:t> by automatically fetching nutritional values.</a:t>
          </a:r>
          <a:endParaRPr lang="en-US" sz="1200" b="0" i="0">
            <a:solidFill>
              <a:sysClr val="windowText" lastClr="000000"/>
            </a:solidFill>
            <a:effectLst/>
            <a:latin typeface="+mn-lt"/>
            <a:ea typeface="+mn-ea"/>
            <a:cs typeface="+mn-cs"/>
          </a:endParaRPr>
        </a:p>
        <a:p>
          <a:endParaRPr lang="pl-PL" sz="1200" b="0" i="0">
            <a:solidFill>
              <a:sysClr val="windowText" lastClr="000000"/>
            </a:solidFill>
            <a:effectLst/>
            <a:latin typeface="+mn-lt"/>
            <a:ea typeface="+mn-ea"/>
            <a:cs typeface="+mn-cs"/>
          </a:endParaRPr>
        </a:p>
        <a:p>
          <a:r>
            <a:rPr lang="en-BI" sz="1200" b="1" i="0">
              <a:solidFill>
                <a:sysClr val="windowText" lastClr="000000"/>
              </a:solidFill>
              <a:effectLst/>
              <a:latin typeface="+mn-lt"/>
              <a:ea typeface="+mn-ea"/>
              <a:cs typeface="+mn-cs"/>
            </a:rPr>
            <a:t>📋 </a:t>
          </a:r>
          <a:r>
            <a:rPr lang="pl-PL" sz="1200" b="1" i="0">
              <a:solidFill>
                <a:sysClr val="windowText" lastClr="000000"/>
              </a:solidFill>
              <a:effectLst/>
              <a:latin typeface="+mn-lt"/>
              <a:ea typeface="+mn-ea"/>
              <a:cs typeface="+mn-cs"/>
            </a:rPr>
            <a:t>Columns in Food Database</a:t>
          </a:r>
          <a:endParaRPr lang="en-US" sz="1200" b="1" i="0">
            <a:solidFill>
              <a:sysClr val="windowText" lastClr="000000"/>
            </a:solidFill>
            <a:effectLst/>
            <a:latin typeface="+mn-lt"/>
            <a:ea typeface="+mn-ea"/>
            <a:cs typeface="+mn-cs"/>
          </a:endParaRPr>
        </a:p>
        <a:p>
          <a:endParaRPr lang="pl-PL" sz="1200" b="1" i="0">
            <a:solidFill>
              <a:sysClr val="windowText" lastClr="000000"/>
            </a:solidFill>
            <a:effectLst/>
            <a:latin typeface="+mn-lt"/>
            <a:ea typeface="+mn-ea"/>
            <a:cs typeface="+mn-cs"/>
          </a:endParaRPr>
        </a:p>
        <a:p>
          <a:r>
            <a:rPr lang="pl-PL" sz="1200" b="1" i="0">
              <a:solidFill>
                <a:sysClr val="windowText" lastClr="000000"/>
              </a:solidFill>
              <a:effectLst/>
              <a:latin typeface="+mn-lt"/>
              <a:ea typeface="+mn-ea"/>
              <a:cs typeface="+mn-cs"/>
            </a:rPr>
            <a:t>Category</a:t>
          </a:r>
          <a:endParaRPr lang="pl-PL" sz="1200" b="0" i="0">
            <a:solidFill>
              <a:sysClr val="windowText" lastClr="000000"/>
            </a:solidFill>
            <a:effectLst/>
            <a:latin typeface="+mn-lt"/>
            <a:ea typeface="+mn-ea"/>
            <a:cs typeface="+mn-cs"/>
          </a:endParaRPr>
        </a:p>
        <a:p>
          <a:pPr marL="628650" lvl="1" indent="-171450">
            <a:buFont typeface="Arial" panose="020B0604020202020204" pitchFamily="34" charset="0"/>
            <a:buChar char="•"/>
          </a:pPr>
          <a:r>
            <a:rPr lang="pl-PL" sz="1200" b="0" i="0">
              <a:solidFill>
                <a:sysClr val="windowText" lastClr="000000"/>
              </a:solidFill>
              <a:effectLst/>
              <a:latin typeface="+mn-lt"/>
              <a:ea typeface="+mn-ea"/>
              <a:cs typeface="+mn-cs"/>
            </a:rPr>
            <a:t>Type of food (e.g., Grains, Vegetables, Fruits, Meat, Dairy, Snacks, Drinks).</a:t>
          </a:r>
        </a:p>
        <a:p>
          <a:pPr marL="628650" lvl="1" indent="-171450">
            <a:buFont typeface="Arial" panose="020B0604020202020204" pitchFamily="34" charset="0"/>
            <a:buChar char="•"/>
          </a:pPr>
          <a:r>
            <a:rPr lang="pl-PL" sz="1200" b="0" i="0">
              <a:solidFill>
                <a:sysClr val="windowText" lastClr="000000"/>
              </a:solidFill>
              <a:effectLst/>
              <a:latin typeface="+mn-lt"/>
              <a:ea typeface="+mn-ea"/>
              <a:cs typeface="+mn-cs"/>
            </a:rPr>
            <a:t>Helps organize and makes drop-down lists easier.</a:t>
          </a:r>
          <a:endParaRPr lang="en-US" sz="1200" b="0" i="0">
            <a:solidFill>
              <a:sysClr val="windowText" lastClr="000000"/>
            </a:solidFill>
            <a:effectLst/>
            <a:latin typeface="+mn-lt"/>
            <a:ea typeface="+mn-ea"/>
            <a:cs typeface="+mn-cs"/>
          </a:endParaRPr>
        </a:p>
        <a:p>
          <a:pPr marL="628650" lvl="1" indent="-171450">
            <a:buFont typeface="Arial" panose="020B0604020202020204" pitchFamily="34" charset="0"/>
            <a:buChar char="•"/>
          </a:pPr>
          <a:endParaRPr lang="pl-PL" sz="1200" b="0" i="0">
            <a:solidFill>
              <a:sysClr val="windowText" lastClr="000000"/>
            </a:solidFill>
            <a:effectLst/>
            <a:latin typeface="+mn-lt"/>
            <a:ea typeface="+mn-ea"/>
            <a:cs typeface="+mn-cs"/>
          </a:endParaRPr>
        </a:p>
        <a:p>
          <a:r>
            <a:rPr lang="pl-PL" sz="1200" b="1" i="0">
              <a:solidFill>
                <a:sysClr val="windowText" lastClr="000000"/>
              </a:solidFill>
              <a:effectLst/>
              <a:latin typeface="+mn-lt"/>
              <a:ea typeface="+mn-ea"/>
              <a:cs typeface="+mn-cs"/>
            </a:rPr>
            <a:t>Food Item</a:t>
          </a:r>
          <a:endParaRPr lang="pl-PL" sz="1200" b="0" i="0">
            <a:solidFill>
              <a:sysClr val="windowText" lastClr="000000"/>
            </a:solidFill>
            <a:effectLst/>
            <a:latin typeface="+mn-lt"/>
            <a:ea typeface="+mn-ea"/>
            <a:cs typeface="+mn-cs"/>
          </a:endParaRPr>
        </a:p>
        <a:p>
          <a:pPr marL="628650" lvl="1" indent="-171450">
            <a:buFont typeface="Arial" panose="020B0604020202020204" pitchFamily="34" charset="0"/>
            <a:buChar char="•"/>
          </a:pPr>
          <a:r>
            <a:rPr lang="pl-PL" sz="1200" b="0" i="0">
              <a:solidFill>
                <a:sysClr val="windowText" lastClr="000000"/>
              </a:solidFill>
              <a:effectLst/>
              <a:latin typeface="+mn-lt"/>
              <a:ea typeface="+mn-ea"/>
              <a:cs typeface="+mn-cs"/>
            </a:rPr>
            <a:t>Name of the food (e.g., Chicken Breast, Rice, Apple).</a:t>
          </a:r>
        </a:p>
        <a:p>
          <a:pPr marL="628650" lvl="1" indent="-171450">
            <a:buFont typeface="Arial" panose="020B0604020202020204" pitchFamily="34" charset="0"/>
            <a:buChar char="•"/>
          </a:pPr>
          <a:r>
            <a:rPr lang="pl-PL" sz="1200" b="0" i="0">
              <a:solidFill>
                <a:sysClr val="windowText" lastClr="000000"/>
              </a:solidFill>
              <a:effectLst/>
              <a:latin typeface="+mn-lt"/>
              <a:ea typeface="+mn-ea"/>
              <a:cs typeface="+mn-cs"/>
            </a:rPr>
            <a:t>This list feeds the drop-down menu in the Diet Plan sheet.</a:t>
          </a:r>
          <a:endParaRPr lang="en-US" sz="1200" b="0" i="0">
            <a:solidFill>
              <a:sysClr val="windowText" lastClr="000000"/>
            </a:solidFill>
            <a:effectLst/>
            <a:latin typeface="+mn-lt"/>
            <a:ea typeface="+mn-ea"/>
            <a:cs typeface="+mn-cs"/>
          </a:endParaRPr>
        </a:p>
        <a:p>
          <a:pPr marL="628650" lvl="1" indent="-171450">
            <a:buFont typeface="Arial" panose="020B0604020202020204" pitchFamily="34" charset="0"/>
            <a:buChar char="•"/>
          </a:pPr>
          <a:endParaRPr lang="pl-PL" sz="1200" b="0" i="0">
            <a:solidFill>
              <a:sysClr val="windowText" lastClr="000000"/>
            </a:solidFill>
            <a:effectLst/>
            <a:latin typeface="+mn-lt"/>
            <a:ea typeface="+mn-ea"/>
            <a:cs typeface="+mn-cs"/>
          </a:endParaRPr>
        </a:p>
        <a:p>
          <a:r>
            <a:rPr lang="pl-PL" sz="1200" b="1" i="0">
              <a:solidFill>
                <a:sysClr val="windowText" lastClr="000000"/>
              </a:solidFill>
              <a:effectLst/>
              <a:latin typeface="+mn-lt"/>
              <a:ea typeface="+mn-ea"/>
              <a:cs typeface="+mn-cs"/>
            </a:rPr>
            <a:t>Protein (per 100g)</a:t>
          </a:r>
          <a:endParaRPr lang="pl-PL" sz="1200" b="0" i="0">
            <a:solidFill>
              <a:sysClr val="windowText" lastClr="000000"/>
            </a:solidFill>
            <a:effectLst/>
            <a:latin typeface="+mn-lt"/>
            <a:ea typeface="+mn-ea"/>
            <a:cs typeface="+mn-cs"/>
          </a:endParaRPr>
        </a:p>
        <a:p>
          <a:pPr marL="628650" lvl="1" indent="-171450">
            <a:buFont typeface="Arial" panose="020B0604020202020204" pitchFamily="34" charset="0"/>
            <a:buChar char="•"/>
          </a:pPr>
          <a:r>
            <a:rPr lang="pl-PL" sz="1200" b="0" i="0">
              <a:solidFill>
                <a:sysClr val="windowText" lastClr="000000"/>
              </a:solidFill>
              <a:effectLst/>
              <a:latin typeface="+mn-lt"/>
              <a:ea typeface="+mn-ea"/>
              <a:cs typeface="+mn-cs"/>
            </a:rPr>
            <a:t>Enter the protein content in grams for 100g of the food.</a:t>
          </a:r>
          <a:endParaRPr lang="en-US" sz="1200" b="0" i="0">
            <a:solidFill>
              <a:sysClr val="windowText" lastClr="000000"/>
            </a:solidFill>
            <a:effectLst/>
            <a:latin typeface="+mn-lt"/>
            <a:ea typeface="+mn-ea"/>
            <a:cs typeface="+mn-cs"/>
          </a:endParaRPr>
        </a:p>
        <a:p>
          <a:pPr marL="628650" lvl="1" indent="-171450">
            <a:buFont typeface="Arial" panose="020B0604020202020204" pitchFamily="34" charset="0"/>
            <a:buChar char="•"/>
          </a:pPr>
          <a:endParaRPr lang="pl-PL" sz="1200" b="0" i="0">
            <a:solidFill>
              <a:sysClr val="windowText" lastClr="000000"/>
            </a:solidFill>
            <a:effectLst/>
            <a:latin typeface="+mn-lt"/>
            <a:ea typeface="+mn-ea"/>
            <a:cs typeface="+mn-cs"/>
          </a:endParaRPr>
        </a:p>
        <a:p>
          <a:r>
            <a:rPr lang="pl-PL" sz="1200" b="1" i="0">
              <a:solidFill>
                <a:sysClr val="windowText" lastClr="000000"/>
              </a:solidFill>
              <a:effectLst/>
              <a:latin typeface="+mn-lt"/>
              <a:ea typeface="+mn-ea"/>
              <a:cs typeface="+mn-cs"/>
            </a:rPr>
            <a:t>Carbs (per 100g)</a:t>
          </a:r>
          <a:endParaRPr lang="pl-PL" sz="1200" b="0" i="0">
            <a:solidFill>
              <a:sysClr val="windowText" lastClr="000000"/>
            </a:solidFill>
            <a:effectLst/>
            <a:latin typeface="+mn-lt"/>
            <a:ea typeface="+mn-ea"/>
            <a:cs typeface="+mn-cs"/>
          </a:endParaRPr>
        </a:p>
        <a:p>
          <a:pPr marL="628650" lvl="1" indent="-171450">
            <a:buFont typeface="Arial" panose="020B0604020202020204" pitchFamily="34" charset="0"/>
            <a:buChar char="•"/>
          </a:pPr>
          <a:r>
            <a:rPr lang="pl-PL" sz="1200" b="0" i="0">
              <a:solidFill>
                <a:sysClr val="windowText" lastClr="000000"/>
              </a:solidFill>
              <a:effectLst/>
              <a:latin typeface="+mn-lt"/>
              <a:ea typeface="+mn-ea"/>
              <a:cs typeface="+mn-cs"/>
            </a:rPr>
            <a:t>Enter carbohydrate content in grams for 100g of the food.</a:t>
          </a:r>
          <a:endParaRPr lang="en-US" sz="1200" b="0" i="0">
            <a:solidFill>
              <a:sysClr val="windowText" lastClr="000000"/>
            </a:solidFill>
            <a:effectLst/>
            <a:latin typeface="+mn-lt"/>
            <a:ea typeface="+mn-ea"/>
            <a:cs typeface="+mn-cs"/>
          </a:endParaRPr>
        </a:p>
        <a:p>
          <a:pPr marL="628650" lvl="1" indent="-171450">
            <a:buFont typeface="Arial" panose="020B0604020202020204" pitchFamily="34" charset="0"/>
            <a:buChar char="•"/>
          </a:pPr>
          <a:endParaRPr lang="pl-PL" sz="1200" b="0" i="0">
            <a:solidFill>
              <a:sysClr val="windowText" lastClr="000000"/>
            </a:solidFill>
            <a:effectLst/>
            <a:latin typeface="+mn-lt"/>
            <a:ea typeface="+mn-ea"/>
            <a:cs typeface="+mn-cs"/>
          </a:endParaRPr>
        </a:p>
        <a:p>
          <a:r>
            <a:rPr lang="pl-PL" sz="1200" b="1" i="0">
              <a:solidFill>
                <a:sysClr val="windowText" lastClr="000000"/>
              </a:solidFill>
              <a:effectLst/>
              <a:latin typeface="+mn-lt"/>
              <a:ea typeface="+mn-ea"/>
              <a:cs typeface="+mn-cs"/>
            </a:rPr>
            <a:t>Fats (per 100g)</a:t>
          </a:r>
          <a:endParaRPr lang="pl-PL" sz="1200" b="0" i="0">
            <a:solidFill>
              <a:sysClr val="windowText" lastClr="000000"/>
            </a:solidFill>
            <a:effectLst/>
            <a:latin typeface="+mn-lt"/>
            <a:ea typeface="+mn-ea"/>
            <a:cs typeface="+mn-cs"/>
          </a:endParaRPr>
        </a:p>
        <a:p>
          <a:pPr marL="628650" lvl="1" indent="-171450">
            <a:buFont typeface="Arial" panose="020B0604020202020204" pitchFamily="34" charset="0"/>
            <a:buChar char="•"/>
          </a:pPr>
          <a:r>
            <a:rPr lang="pl-PL" sz="1200" b="0" i="0">
              <a:solidFill>
                <a:sysClr val="windowText" lastClr="000000"/>
              </a:solidFill>
              <a:effectLst/>
              <a:latin typeface="+mn-lt"/>
              <a:ea typeface="+mn-ea"/>
              <a:cs typeface="+mn-cs"/>
            </a:rPr>
            <a:t>Enter fat content in grams for 100g of the food.</a:t>
          </a:r>
          <a:endParaRPr lang="en-US" sz="1200" b="0" i="0">
            <a:solidFill>
              <a:sysClr val="windowText" lastClr="000000"/>
            </a:solidFill>
            <a:effectLst/>
            <a:latin typeface="+mn-lt"/>
            <a:ea typeface="+mn-ea"/>
            <a:cs typeface="+mn-cs"/>
          </a:endParaRPr>
        </a:p>
        <a:p>
          <a:pPr marL="628650" lvl="1" indent="-171450">
            <a:buFont typeface="Arial" panose="020B0604020202020204" pitchFamily="34" charset="0"/>
            <a:buChar char="•"/>
          </a:pPr>
          <a:endParaRPr lang="pl-PL" sz="1200" b="0" i="0">
            <a:solidFill>
              <a:sysClr val="windowText" lastClr="000000"/>
            </a:solidFill>
            <a:effectLst/>
            <a:latin typeface="+mn-lt"/>
            <a:ea typeface="+mn-ea"/>
            <a:cs typeface="+mn-cs"/>
          </a:endParaRPr>
        </a:p>
        <a:p>
          <a:r>
            <a:rPr lang="pl-PL" sz="1200" b="1" i="0">
              <a:solidFill>
                <a:sysClr val="windowText" lastClr="000000"/>
              </a:solidFill>
              <a:effectLst/>
              <a:latin typeface="+mn-lt"/>
              <a:ea typeface="+mn-ea"/>
              <a:cs typeface="+mn-cs"/>
            </a:rPr>
            <a:t>Fibre (per 100g)</a:t>
          </a:r>
          <a:endParaRPr lang="pl-PL" sz="1200" b="0" i="0">
            <a:solidFill>
              <a:sysClr val="windowText" lastClr="000000"/>
            </a:solidFill>
            <a:effectLst/>
            <a:latin typeface="+mn-lt"/>
            <a:ea typeface="+mn-ea"/>
            <a:cs typeface="+mn-cs"/>
          </a:endParaRPr>
        </a:p>
        <a:p>
          <a:pPr marL="628650" lvl="1" indent="-171450">
            <a:buFont typeface="Arial" panose="020B0604020202020204" pitchFamily="34" charset="0"/>
            <a:buChar char="•"/>
          </a:pPr>
          <a:r>
            <a:rPr lang="pl-PL" sz="1200" b="0" i="0">
              <a:solidFill>
                <a:sysClr val="windowText" lastClr="000000"/>
              </a:solidFill>
              <a:effectLst/>
              <a:latin typeface="+mn-lt"/>
              <a:ea typeface="+mn-ea"/>
              <a:cs typeface="+mn-cs"/>
            </a:rPr>
            <a:t>Enter fibre content in grams for 100g of the food.</a:t>
          </a:r>
          <a:endParaRPr lang="en-US" sz="1200" b="0" i="0">
            <a:solidFill>
              <a:sysClr val="windowText" lastClr="000000"/>
            </a:solidFill>
            <a:effectLst/>
            <a:latin typeface="+mn-lt"/>
            <a:ea typeface="+mn-ea"/>
            <a:cs typeface="+mn-cs"/>
          </a:endParaRPr>
        </a:p>
        <a:p>
          <a:pPr marL="628650" lvl="1" indent="-171450">
            <a:buFont typeface="Arial" panose="020B0604020202020204" pitchFamily="34" charset="0"/>
            <a:buChar char="•"/>
          </a:pPr>
          <a:endParaRPr lang="pl-PL" sz="1200" b="0" i="0">
            <a:solidFill>
              <a:sysClr val="windowText" lastClr="000000"/>
            </a:solidFill>
            <a:effectLst/>
            <a:latin typeface="+mn-lt"/>
            <a:ea typeface="+mn-ea"/>
            <a:cs typeface="+mn-cs"/>
          </a:endParaRPr>
        </a:p>
        <a:p>
          <a:r>
            <a:rPr lang="pl-PL" sz="1200" b="1" i="0">
              <a:solidFill>
                <a:sysClr val="windowText" lastClr="000000"/>
              </a:solidFill>
              <a:effectLst/>
              <a:latin typeface="+mn-lt"/>
              <a:ea typeface="+mn-ea"/>
              <a:cs typeface="+mn-cs"/>
            </a:rPr>
            <a:t>Calories (per 100g)</a:t>
          </a:r>
          <a:endParaRPr lang="pl-PL" sz="1200" b="0" i="0">
            <a:solidFill>
              <a:sysClr val="windowText" lastClr="000000"/>
            </a:solidFill>
            <a:effectLst/>
            <a:latin typeface="+mn-lt"/>
            <a:ea typeface="+mn-ea"/>
            <a:cs typeface="+mn-cs"/>
          </a:endParaRPr>
        </a:p>
        <a:p>
          <a:pPr marL="628650" lvl="1" indent="-171450">
            <a:buFont typeface="Arial" panose="020B0604020202020204" pitchFamily="34" charset="0"/>
            <a:buChar char="•"/>
          </a:pPr>
          <a:r>
            <a:rPr lang="pl-PL" sz="1200" b="0" i="0">
              <a:solidFill>
                <a:sysClr val="windowText" lastClr="000000"/>
              </a:solidFill>
              <a:effectLst/>
              <a:latin typeface="+mn-lt"/>
              <a:ea typeface="+mn-ea"/>
              <a:cs typeface="+mn-cs"/>
            </a:rPr>
            <a:t>Enter calories for 100g of the food.</a:t>
          </a:r>
        </a:p>
        <a:p>
          <a:pPr marL="628650" lvl="1" indent="-171450">
            <a:buFont typeface="Arial" panose="020B0604020202020204" pitchFamily="34" charset="0"/>
            <a:buChar char="•"/>
          </a:pPr>
          <a:r>
            <a:rPr lang="pl-PL" sz="1200" b="0" i="0">
              <a:solidFill>
                <a:sysClr val="windowText" lastClr="000000"/>
              </a:solidFill>
              <a:effectLst/>
              <a:latin typeface="+mn-lt"/>
              <a:ea typeface="+mn-ea"/>
              <a:cs typeface="+mn-cs"/>
            </a:rPr>
            <a:t>Formula can also be used if you want Excel to calculate automatically</a:t>
          </a:r>
          <a:r>
            <a:rPr lang="en-US" sz="1200" b="0" i="0">
              <a:solidFill>
                <a:sysClr val="windowText" lastClr="000000"/>
              </a:solidFill>
              <a:effectLst/>
              <a:latin typeface="+mn-lt"/>
              <a:ea typeface="+mn-ea"/>
              <a:cs typeface="+mn-cs"/>
            </a:rPr>
            <a:t>.</a:t>
          </a:r>
          <a:endParaRPr lang="pl-PL" sz="1200" b="0" i="0">
            <a:solidFill>
              <a:sysClr val="windowText" lastClr="000000"/>
            </a:solidFill>
            <a:effectLst/>
            <a:latin typeface="+mn-lt"/>
            <a:ea typeface="+mn-ea"/>
            <a:cs typeface="+mn-cs"/>
          </a:endParaRPr>
        </a:p>
        <a:p>
          <a:pPr lvl="1"/>
          <a:r>
            <a:rPr lang="pl-PL" sz="1200" b="0" i="0">
              <a:solidFill>
                <a:sysClr val="windowText" lastClr="000000"/>
              </a:solidFill>
              <a:effectLst/>
              <a:latin typeface="+mn-lt"/>
              <a:ea typeface="+mn-ea"/>
              <a:cs typeface="+mn-cs"/>
            </a:rPr>
            <a:t>(Fibre is optional in calorie calculation, depends on method).</a:t>
          </a:r>
          <a:endParaRPr lang="en-US" sz="1200" b="0" i="0">
            <a:solidFill>
              <a:sysClr val="windowText" lastClr="000000"/>
            </a:solidFill>
            <a:effectLst/>
            <a:latin typeface="+mn-lt"/>
            <a:ea typeface="+mn-ea"/>
            <a:cs typeface="+mn-cs"/>
          </a:endParaRPr>
        </a:p>
        <a:p>
          <a:pPr lvl="1"/>
          <a:endParaRPr lang="pl-PL" sz="1200" b="0" i="0">
            <a:solidFill>
              <a:sysClr val="windowText" lastClr="000000"/>
            </a:solidFill>
            <a:effectLst/>
            <a:latin typeface="+mn-lt"/>
            <a:ea typeface="+mn-ea"/>
            <a:cs typeface="+mn-cs"/>
          </a:endParaRPr>
        </a:p>
        <a:p>
          <a:r>
            <a:rPr lang="en-BI" sz="1200" b="1" i="0">
              <a:solidFill>
                <a:sysClr val="windowText" lastClr="000000"/>
              </a:solidFill>
              <a:effectLst/>
              <a:latin typeface="+mn-lt"/>
              <a:ea typeface="+mn-ea"/>
              <a:cs typeface="+mn-cs"/>
            </a:rPr>
            <a:t>📌 </a:t>
          </a:r>
          <a:r>
            <a:rPr lang="pl-PL" sz="1200" b="1" i="0">
              <a:solidFill>
                <a:sysClr val="windowText" lastClr="000000"/>
              </a:solidFill>
              <a:effectLst/>
              <a:latin typeface="+mn-lt"/>
              <a:ea typeface="+mn-ea"/>
              <a:cs typeface="+mn-cs"/>
            </a:rPr>
            <a:t>How to Maintain the Food Database</a:t>
          </a:r>
        </a:p>
        <a:p>
          <a:pPr marL="171450" indent="-171450">
            <a:buFont typeface="Arial" panose="020B0604020202020204" pitchFamily="34" charset="0"/>
            <a:buChar char="•"/>
          </a:pPr>
          <a:r>
            <a:rPr lang="pl-PL" sz="1200" b="0" i="0">
              <a:solidFill>
                <a:sysClr val="windowText" lastClr="000000"/>
              </a:solidFill>
              <a:effectLst/>
              <a:latin typeface="+mn-lt"/>
              <a:ea typeface="+mn-ea"/>
              <a:cs typeface="+mn-cs"/>
            </a:rPr>
            <a:t>Whenever you want to </a:t>
          </a:r>
          <a:r>
            <a:rPr lang="pl-PL" sz="1200" b="1" i="0">
              <a:solidFill>
                <a:sysClr val="windowText" lastClr="000000"/>
              </a:solidFill>
              <a:effectLst/>
              <a:latin typeface="+mn-lt"/>
              <a:ea typeface="+mn-ea"/>
              <a:cs typeface="+mn-cs"/>
            </a:rPr>
            <a:t>add a new food item</a:t>
          </a:r>
          <a:r>
            <a:rPr lang="pl-PL" sz="1200" b="0" i="0">
              <a:solidFill>
                <a:sysClr val="windowText" lastClr="000000"/>
              </a:solidFill>
              <a:effectLst/>
              <a:latin typeface="+mn-lt"/>
              <a:ea typeface="+mn-ea"/>
              <a:cs typeface="+mn-cs"/>
            </a:rPr>
            <a:t>:</a:t>
          </a:r>
        </a:p>
        <a:p>
          <a:pPr marL="685800" lvl="1" indent="-228600">
            <a:buFont typeface="+mj-lt"/>
            <a:buAutoNum type="arabicPeriod"/>
          </a:pPr>
          <a:r>
            <a:rPr lang="pl-PL" sz="1200" b="0" i="0">
              <a:solidFill>
                <a:sysClr val="windowText" lastClr="000000"/>
              </a:solidFill>
              <a:effectLst/>
              <a:latin typeface="+mn-lt"/>
              <a:ea typeface="+mn-ea"/>
              <a:cs typeface="+mn-cs"/>
            </a:rPr>
            <a:t>Enter its category.</a:t>
          </a:r>
        </a:p>
        <a:p>
          <a:pPr marL="685800" lvl="1" indent="-228600">
            <a:buFont typeface="+mj-lt"/>
            <a:buAutoNum type="arabicPeriod"/>
          </a:pPr>
          <a:r>
            <a:rPr lang="pl-PL" sz="1200" b="0" i="0">
              <a:solidFill>
                <a:sysClr val="windowText" lastClr="000000"/>
              </a:solidFill>
              <a:effectLst/>
              <a:latin typeface="+mn-lt"/>
              <a:ea typeface="+mn-ea"/>
              <a:cs typeface="+mn-cs"/>
            </a:rPr>
            <a:t>Enter the food name.</a:t>
          </a:r>
        </a:p>
        <a:p>
          <a:pPr marL="685800" lvl="1" indent="-228600">
            <a:buFont typeface="+mj-lt"/>
            <a:buAutoNum type="arabicPeriod"/>
          </a:pPr>
          <a:r>
            <a:rPr lang="pl-PL" sz="1200" b="0" i="0">
              <a:solidFill>
                <a:sysClr val="windowText" lastClr="000000"/>
              </a:solidFill>
              <a:effectLst/>
              <a:latin typeface="+mn-lt"/>
              <a:ea typeface="+mn-ea"/>
              <a:cs typeface="+mn-cs"/>
            </a:rPr>
            <a:t>Fill in nutrition values </a:t>
          </a:r>
          <a:r>
            <a:rPr lang="pl-PL" sz="1200" b="1" i="0">
              <a:solidFill>
                <a:sysClr val="windowText" lastClr="000000"/>
              </a:solidFill>
              <a:effectLst/>
              <a:latin typeface="+mn-lt"/>
              <a:ea typeface="+mn-ea"/>
              <a:cs typeface="+mn-cs"/>
            </a:rPr>
            <a:t>per 100 grams/ml</a:t>
          </a:r>
          <a:r>
            <a:rPr lang="pl-PL" sz="1200" b="0" i="0">
              <a:solidFill>
                <a:sysClr val="windowText" lastClr="000000"/>
              </a:solidFill>
              <a:effectLst/>
              <a:latin typeface="+mn-lt"/>
              <a:ea typeface="+mn-ea"/>
              <a:cs typeface="+mn-cs"/>
            </a:rPr>
            <a:t>.</a:t>
          </a:r>
        </a:p>
        <a:p>
          <a:pPr marL="685800" lvl="1" indent="-228600">
            <a:buFont typeface="+mj-lt"/>
            <a:buAutoNum type="arabicPeriod"/>
          </a:pPr>
          <a:r>
            <a:rPr lang="pl-PL" sz="1200" b="0" i="0">
              <a:solidFill>
                <a:sysClr val="windowText" lastClr="000000"/>
              </a:solidFill>
              <a:effectLst/>
              <a:latin typeface="+mn-lt"/>
              <a:ea typeface="+mn-ea"/>
              <a:cs typeface="+mn-cs"/>
            </a:rPr>
            <a:t>Enter the calories (or let formula calculate it).</a:t>
          </a:r>
          <a:endParaRPr lang="en-US" sz="1200" b="0" i="0">
            <a:solidFill>
              <a:sysClr val="windowText" lastClr="000000"/>
            </a:solidFill>
            <a:effectLst/>
            <a:latin typeface="+mn-lt"/>
            <a:ea typeface="+mn-ea"/>
            <a:cs typeface="+mn-cs"/>
          </a:endParaRPr>
        </a:p>
        <a:p>
          <a:pPr marL="685800" lvl="1" indent="-228600">
            <a:buFont typeface="+mj-lt"/>
            <a:buAutoNum type="arabicPeriod"/>
          </a:pPr>
          <a:endParaRPr lang="pl-PL" sz="1200" b="0" i="0">
            <a:solidFill>
              <a:sysClr val="windowText" lastClr="000000"/>
            </a:solidFill>
            <a:effectLst/>
            <a:latin typeface="+mn-lt"/>
            <a:ea typeface="+mn-ea"/>
            <a:cs typeface="+mn-cs"/>
          </a:endParaRPr>
        </a:p>
        <a:p>
          <a:pPr marL="171450" indent="-171450">
            <a:buFont typeface="Arial" panose="020B0604020202020204" pitchFamily="34" charset="0"/>
            <a:buChar char="•"/>
          </a:pPr>
          <a:r>
            <a:rPr lang="pl-PL" sz="1200" b="0" i="0">
              <a:solidFill>
                <a:sysClr val="windowText" lastClr="000000"/>
              </a:solidFill>
              <a:effectLst/>
              <a:latin typeface="+mn-lt"/>
              <a:ea typeface="+mn-ea"/>
              <a:cs typeface="+mn-cs"/>
            </a:rPr>
            <a:t>The </a:t>
          </a:r>
          <a:r>
            <a:rPr lang="pl-PL" sz="1200" b="1" i="0">
              <a:solidFill>
                <a:sysClr val="windowText" lastClr="000000"/>
              </a:solidFill>
              <a:effectLst/>
              <a:latin typeface="+mn-lt"/>
              <a:ea typeface="+mn-ea"/>
              <a:cs typeface="+mn-cs"/>
            </a:rPr>
            <a:t>Diet Plan sheet</a:t>
          </a:r>
          <a:r>
            <a:rPr lang="pl-PL" sz="1200" b="0" i="0">
              <a:solidFill>
                <a:sysClr val="windowText" lastClr="000000"/>
              </a:solidFill>
              <a:effectLst/>
              <a:latin typeface="+mn-lt"/>
              <a:ea typeface="+mn-ea"/>
              <a:cs typeface="+mn-cs"/>
            </a:rPr>
            <a:t> will automatically pick it up in the drop-down and calculations.</a:t>
          </a:r>
          <a:endParaRPr lang="en-US" sz="1200" b="0" i="0">
            <a:solidFill>
              <a:sysClr val="windowText" lastClr="000000"/>
            </a:solidFill>
            <a:effectLst/>
            <a:latin typeface="+mn-lt"/>
            <a:ea typeface="+mn-ea"/>
            <a:cs typeface="+mn-cs"/>
          </a:endParaRPr>
        </a:p>
        <a:p>
          <a:endParaRPr lang="pl-PL" sz="1200" b="0" i="0">
            <a:solidFill>
              <a:sysClr val="windowText" lastClr="000000"/>
            </a:solidFill>
            <a:effectLst/>
            <a:latin typeface="+mn-lt"/>
            <a:ea typeface="+mn-ea"/>
            <a:cs typeface="+mn-cs"/>
          </a:endParaRPr>
        </a:p>
        <a:p>
          <a:r>
            <a:rPr lang="en-BI" sz="1200" b="0" i="0">
              <a:solidFill>
                <a:sysClr val="windowText" lastClr="000000"/>
              </a:solidFill>
              <a:effectLst/>
              <a:latin typeface="+mn-lt"/>
              <a:ea typeface="+mn-ea"/>
              <a:cs typeface="+mn-cs"/>
            </a:rPr>
            <a:t>✅ </a:t>
          </a:r>
          <a:r>
            <a:rPr lang="pl-PL" sz="1200" b="0" i="0">
              <a:solidFill>
                <a:sysClr val="windowText" lastClr="000000"/>
              </a:solidFill>
              <a:effectLst/>
              <a:latin typeface="+mn-lt"/>
              <a:ea typeface="+mn-ea"/>
              <a:cs typeface="+mn-cs"/>
            </a:rPr>
            <a:t>Keeping this updated ensures your diet tracking stays </a:t>
          </a:r>
          <a:r>
            <a:rPr lang="pl-PL" sz="1200" b="1" i="0">
              <a:solidFill>
                <a:sysClr val="windowText" lastClr="000000"/>
              </a:solidFill>
              <a:effectLst/>
              <a:latin typeface="+mn-lt"/>
              <a:ea typeface="+mn-ea"/>
              <a:cs typeface="+mn-cs"/>
            </a:rPr>
            <a:t>accurate and flexible</a:t>
          </a:r>
          <a:r>
            <a:rPr lang="pl-PL" sz="1200" b="0" i="0">
              <a:solidFill>
                <a:sysClr val="windowText" lastClr="000000"/>
              </a:solidFill>
              <a:effectLst/>
              <a:latin typeface="+mn-lt"/>
              <a:ea typeface="+mn-ea"/>
              <a:cs typeface="+mn-cs"/>
            </a:rPr>
            <a: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472440</xdr:colOff>
      <xdr:row>1</xdr:row>
      <xdr:rowOff>83820</xdr:rowOff>
    </xdr:from>
    <xdr:to>
      <xdr:col>9</xdr:col>
      <xdr:colOff>320040</xdr:colOff>
      <xdr:row>3</xdr:row>
      <xdr:rowOff>83820</xdr:rowOff>
    </xdr:to>
    <xdr:sp macro="" textlink="">
      <xdr:nvSpPr>
        <xdr:cNvPr id="3" name="Rectangle 2">
          <a:extLst>
            <a:ext uri="{FF2B5EF4-FFF2-40B4-BE49-F238E27FC236}">
              <a16:creationId xmlns:a16="http://schemas.microsoft.com/office/drawing/2014/main" id="{7B59813E-875C-4EEA-A643-05948395C777}"/>
            </a:ext>
          </a:extLst>
        </xdr:cNvPr>
        <xdr:cNvSpPr/>
      </xdr:nvSpPr>
      <xdr:spPr>
        <a:xfrm>
          <a:off x="5295900" y="259080"/>
          <a:ext cx="3078480" cy="3505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ysClr val="windowText" lastClr="000000"/>
              </a:solidFill>
              <a:latin typeface="Amasis MT Pro Black" panose="02040A04050005020304" pitchFamily="18" charset="0"/>
            </a:rPr>
            <a:t>Workout </a:t>
          </a:r>
          <a:r>
            <a:rPr lang="en-US" sz="2400" baseline="0">
              <a:solidFill>
                <a:sysClr val="windowText" lastClr="000000"/>
              </a:solidFill>
              <a:latin typeface="Amasis MT Pro Black" panose="02040A04050005020304" pitchFamily="18" charset="0"/>
            </a:rPr>
            <a:t>Log</a:t>
          </a:r>
          <a:endParaRPr lang="LID4096" sz="2400">
            <a:solidFill>
              <a:sysClr val="windowText" lastClr="000000"/>
            </a:solidFill>
            <a:latin typeface="Amasis MT Pro Black" panose="02040A04050005020304" pitchFamily="18" charset="0"/>
          </a:endParaRPr>
        </a:p>
      </xdr:txBody>
    </xdr:sp>
    <xdr:clientData/>
  </xdr:twoCellAnchor>
  <xdr:twoCellAnchor>
    <xdr:from>
      <xdr:col>6</xdr:col>
      <xdr:colOff>209550</xdr:colOff>
      <xdr:row>3</xdr:row>
      <xdr:rowOff>133350</xdr:rowOff>
    </xdr:from>
    <xdr:to>
      <xdr:col>9</xdr:col>
      <xdr:colOff>1257300</xdr:colOff>
      <xdr:row>5</xdr:row>
      <xdr:rowOff>19050</xdr:rowOff>
    </xdr:to>
    <xdr:sp macro="" textlink="">
      <xdr:nvSpPr>
        <xdr:cNvPr id="4" name="Rectangle 3">
          <a:extLst>
            <a:ext uri="{FF2B5EF4-FFF2-40B4-BE49-F238E27FC236}">
              <a16:creationId xmlns:a16="http://schemas.microsoft.com/office/drawing/2014/main" id="{6173601F-3EAF-4A8B-B731-F27A7A4EF005}"/>
            </a:ext>
          </a:extLst>
        </xdr:cNvPr>
        <xdr:cNvSpPr/>
      </xdr:nvSpPr>
      <xdr:spPr>
        <a:xfrm>
          <a:off x="5162550" y="647700"/>
          <a:ext cx="4276725" cy="228600"/>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200" b="1" i="0" u="none" strike="noStrike">
              <a:solidFill>
                <a:sysClr val="windowText" lastClr="000000"/>
              </a:solidFill>
              <a:effectLst/>
              <a:latin typeface="+mn-lt"/>
              <a:ea typeface="+mn-ea"/>
              <a:cs typeface="+mn-cs"/>
            </a:rPr>
            <a:t>Total Calories Must be Burned Per Day</a:t>
          </a:r>
          <a:r>
            <a:rPr lang="en-US" sz="1200" b="1" i="0" u="none" strike="noStrike">
              <a:solidFill>
                <a:sysClr val="windowText" lastClr="000000"/>
              </a:solidFill>
              <a:effectLst/>
              <a:latin typeface="+mn-lt"/>
              <a:ea typeface="+mn-ea"/>
              <a:cs typeface="+mn-cs"/>
            </a:rPr>
            <a:t> (kcal) = </a:t>
          </a:r>
          <a:r>
            <a:rPr lang="en-BI" sz="1100" b="1" i="0" u="none" strike="noStrike">
              <a:solidFill>
                <a:sysClr val="windowText" lastClr="000000"/>
              </a:solidFill>
              <a:effectLst/>
              <a:latin typeface="+mn-lt"/>
              <a:ea typeface="+mn-ea"/>
              <a:cs typeface="+mn-cs"/>
            </a:rPr>
            <a:t>300</a:t>
          </a:r>
          <a:r>
            <a:rPr lang="en-US" sz="1100" b="1" i="0" u="none" strike="noStrike">
              <a:solidFill>
                <a:sysClr val="windowText" lastClr="000000"/>
              </a:solidFill>
              <a:effectLst/>
              <a:latin typeface="+mn-lt"/>
              <a:ea typeface="+mn-ea"/>
              <a:cs typeface="+mn-cs"/>
            </a:rPr>
            <a:t> </a:t>
          </a:r>
          <a:r>
            <a:rPr lang="en-BI" sz="1100" b="1" i="0" u="none" strike="noStrike">
              <a:solidFill>
                <a:sysClr val="windowText" lastClr="000000"/>
              </a:solidFill>
              <a:effectLst/>
              <a:latin typeface="+mn-lt"/>
              <a:ea typeface="+mn-ea"/>
              <a:cs typeface="+mn-cs"/>
            </a:rPr>
            <a:t>-</a:t>
          </a:r>
          <a:r>
            <a:rPr lang="en-US" sz="1100" b="1" i="0" u="none" strike="noStrike">
              <a:solidFill>
                <a:sysClr val="windowText" lastClr="000000"/>
              </a:solidFill>
              <a:effectLst/>
              <a:latin typeface="+mn-lt"/>
              <a:ea typeface="+mn-ea"/>
              <a:cs typeface="+mn-cs"/>
            </a:rPr>
            <a:t> </a:t>
          </a:r>
          <a:r>
            <a:rPr lang="en-BI" sz="1100" b="1" i="0" u="none" strike="noStrike">
              <a:solidFill>
                <a:sysClr val="windowText" lastClr="000000"/>
              </a:solidFill>
              <a:effectLst/>
              <a:latin typeface="+mn-lt"/>
              <a:ea typeface="+mn-ea"/>
              <a:cs typeface="+mn-cs"/>
            </a:rPr>
            <a:t>400</a:t>
          </a:r>
          <a:r>
            <a:rPr lang="en-BI" sz="1200" b="1">
              <a:solidFill>
                <a:sysClr val="windowText" lastClr="000000"/>
              </a:solidFill>
            </a:rPr>
            <a:t> </a:t>
          </a:r>
          <a:endParaRPr lang="LID4096" sz="1200" b="1">
            <a:solidFill>
              <a:sysClr val="windowText" lastClr="000000"/>
            </a:solidFill>
            <a:latin typeface="Amasis MT Pro Black" panose="02040A04050005020304" pitchFamily="18" charset="0"/>
          </a:endParaRPr>
        </a:p>
      </xdr:txBody>
    </xdr:sp>
    <xdr:clientData/>
  </xdr:twoCellAnchor>
  <xdr:twoCellAnchor>
    <xdr:from>
      <xdr:col>0</xdr:col>
      <xdr:colOff>45720</xdr:colOff>
      <xdr:row>0</xdr:row>
      <xdr:rowOff>53340</xdr:rowOff>
    </xdr:from>
    <xdr:to>
      <xdr:col>2</xdr:col>
      <xdr:colOff>876300</xdr:colOff>
      <xdr:row>34</xdr:row>
      <xdr:rowOff>15240</xdr:rowOff>
    </xdr:to>
    <xdr:grpSp>
      <xdr:nvGrpSpPr>
        <xdr:cNvPr id="5" name="Group 4">
          <a:extLst>
            <a:ext uri="{FF2B5EF4-FFF2-40B4-BE49-F238E27FC236}">
              <a16:creationId xmlns:a16="http://schemas.microsoft.com/office/drawing/2014/main" id="{BFA12150-3FA8-4522-9DC1-B765EE01C004}"/>
            </a:ext>
          </a:extLst>
        </xdr:cNvPr>
        <xdr:cNvGrpSpPr/>
      </xdr:nvGrpSpPr>
      <xdr:grpSpPr>
        <a:xfrm>
          <a:off x="47625" y="57150"/>
          <a:ext cx="2257425" cy="5791200"/>
          <a:chOff x="60960" y="175260"/>
          <a:chExt cx="1950720" cy="4630420"/>
        </a:xfrm>
      </xdr:grpSpPr>
      <xdr:sp macro="[0]!Sheet1.GoToSheet" textlink="">
        <xdr:nvSpPr>
          <xdr:cNvPr id="6" name="Nav_Instructions">
            <a:extLst>
              <a:ext uri="{FF2B5EF4-FFF2-40B4-BE49-F238E27FC236}">
                <a16:creationId xmlns:a16="http://schemas.microsoft.com/office/drawing/2014/main" id="{EE183757-9D7F-6459-1725-DDDA32575B1F}"/>
              </a:ext>
            </a:extLst>
          </xdr:cNvPr>
          <xdr:cNvSpPr/>
        </xdr:nvSpPr>
        <xdr:spPr>
          <a:xfrm>
            <a:off x="63500" y="7035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Instructions</a:t>
            </a:r>
            <a:endParaRPr lang="LID4096" sz="1400" b="1">
              <a:solidFill>
                <a:srgbClr val="000000"/>
              </a:solidFill>
              <a:latin typeface="Amasis MT Pro Medium" panose="02040604050005020304" pitchFamily="18" charset="0"/>
            </a:endParaRPr>
          </a:p>
        </xdr:txBody>
      </xdr:sp>
      <xdr:sp macro="[0]!Sheet1.GoToSheet" textlink="">
        <xdr:nvSpPr>
          <xdr:cNvPr id="7" name="Nav_Body Measurements Log">
            <a:extLst>
              <a:ext uri="{FF2B5EF4-FFF2-40B4-BE49-F238E27FC236}">
                <a16:creationId xmlns:a16="http://schemas.microsoft.com/office/drawing/2014/main" id="{80364B35-516B-AA74-7F46-36883B12771A}"/>
              </a:ext>
            </a:extLst>
          </xdr:cNvPr>
          <xdr:cNvSpPr/>
        </xdr:nvSpPr>
        <xdr:spPr>
          <a:xfrm>
            <a:off x="63500" y="12242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Body Measurements Log</a:t>
            </a:r>
            <a:endParaRPr lang="LID4096" sz="1400" b="1">
              <a:solidFill>
                <a:srgbClr val="000000"/>
              </a:solidFill>
              <a:latin typeface="Amasis MT Pro Medium" panose="02040604050005020304" pitchFamily="18" charset="0"/>
            </a:endParaRPr>
          </a:p>
        </xdr:txBody>
      </xdr:sp>
      <xdr:sp macro="[0]!Sheet1.GoToSheet" textlink="">
        <xdr:nvSpPr>
          <xdr:cNvPr id="8" name="Nav_Workout Log">
            <a:extLst>
              <a:ext uri="{FF2B5EF4-FFF2-40B4-BE49-F238E27FC236}">
                <a16:creationId xmlns:a16="http://schemas.microsoft.com/office/drawing/2014/main" id="{84F6A478-4DD1-6373-80A0-21C2E579E5FB}"/>
              </a:ext>
            </a:extLst>
          </xdr:cNvPr>
          <xdr:cNvSpPr/>
        </xdr:nvSpPr>
        <xdr:spPr>
          <a:xfrm>
            <a:off x="63500" y="17449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Workout Log</a:t>
            </a:r>
            <a:endParaRPr lang="LID4096" sz="1400" b="1">
              <a:solidFill>
                <a:srgbClr val="000000"/>
              </a:solidFill>
              <a:latin typeface="Amasis MT Pro Medium" panose="02040604050005020304" pitchFamily="18" charset="0"/>
            </a:endParaRPr>
          </a:p>
        </xdr:txBody>
      </xdr:sp>
      <xdr:sp macro="[0]!Sheet1.GoToSheet" textlink="">
        <xdr:nvSpPr>
          <xdr:cNvPr id="9" name="Nav_Diet Plan Log">
            <a:extLst>
              <a:ext uri="{FF2B5EF4-FFF2-40B4-BE49-F238E27FC236}">
                <a16:creationId xmlns:a16="http://schemas.microsoft.com/office/drawing/2014/main" id="{06D84FF9-6B42-6E35-C796-1FADC07B55DB}"/>
              </a:ext>
            </a:extLst>
          </xdr:cNvPr>
          <xdr:cNvSpPr/>
        </xdr:nvSpPr>
        <xdr:spPr>
          <a:xfrm>
            <a:off x="63500" y="22656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Diet Plan Log</a:t>
            </a:r>
            <a:endParaRPr lang="LID4096" sz="1400" b="1">
              <a:solidFill>
                <a:srgbClr val="000000"/>
              </a:solidFill>
              <a:latin typeface="Amasis MT Pro Medium" panose="02040604050005020304" pitchFamily="18" charset="0"/>
            </a:endParaRPr>
          </a:p>
        </xdr:txBody>
      </xdr:sp>
      <xdr:sp macro="[0]!Sheet1.GoToSheet" textlink="">
        <xdr:nvSpPr>
          <xdr:cNvPr id="10" name="Nav_FoodDB">
            <a:extLst>
              <a:ext uri="{FF2B5EF4-FFF2-40B4-BE49-F238E27FC236}">
                <a16:creationId xmlns:a16="http://schemas.microsoft.com/office/drawing/2014/main" id="{BE1075F5-253B-E54F-587A-7150A6DA9D6D}"/>
              </a:ext>
            </a:extLst>
          </xdr:cNvPr>
          <xdr:cNvSpPr/>
        </xdr:nvSpPr>
        <xdr:spPr>
          <a:xfrm>
            <a:off x="63500" y="27863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FoodDB</a:t>
            </a:r>
            <a:endParaRPr lang="LID4096" sz="1400" b="1">
              <a:solidFill>
                <a:srgbClr val="000000"/>
              </a:solidFill>
              <a:latin typeface="Amasis MT Pro Medium" panose="02040604050005020304" pitchFamily="18" charset="0"/>
            </a:endParaRPr>
          </a:p>
        </xdr:txBody>
      </xdr:sp>
      <xdr:sp macro="[0]!Sheet1.GoToSheet" textlink="">
        <xdr:nvSpPr>
          <xdr:cNvPr id="11" name="Nav_ExerciseDB">
            <a:extLst>
              <a:ext uri="{FF2B5EF4-FFF2-40B4-BE49-F238E27FC236}">
                <a16:creationId xmlns:a16="http://schemas.microsoft.com/office/drawing/2014/main" id="{98BEA510-F11F-929D-6897-C18F1707259E}"/>
              </a:ext>
            </a:extLst>
          </xdr:cNvPr>
          <xdr:cNvSpPr/>
        </xdr:nvSpPr>
        <xdr:spPr>
          <a:xfrm>
            <a:off x="63500" y="33070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ExerciseDB</a:t>
            </a:r>
            <a:endParaRPr lang="LID4096" sz="1400" b="1">
              <a:solidFill>
                <a:srgbClr val="000000"/>
              </a:solidFill>
              <a:latin typeface="Amasis MT Pro Medium" panose="02040604050005020304" pitchFamily="18" charset="0"/>
            </a:endParaRPr>
          </a:p>
        </xdr:txBody>
      </xdr:sp>
      <xdr:sp macro="[0]!Sheet1.GoToSheet" textlink="">
        <xdr:nvSpPr>
          <xdr:cNvPr id="12" name="Nav_Weekly Progress">
            <a:extLst>
              <a:ext uri="{FF2B5EF4-FFF2-40B4-BE49-F238E27FC236}">
                <a16:creationId xmlns:a16="http://schemas.microsoft.com/office/drawing/2014/main" id="{178DD871-9C2F-8B1B-EF8B-418884BFCD08}"/>
              </a:ext>
            </a:extLst>
          </xdr:cNvPr>
          <xdr:cNvSpPr/>
        </xdr:nvSpPr>
        <xdr:spPr>
          <a:xfrm>
            <a:off x="63500" y="38277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Weekly Progress</a:t>
            </a:r>
            <a:endParaRPr lang="LID4096" sz="1400" b="1">
              <a:solidFill>
                <a:srgbClr val="000000"/>
              </a:solidFill>
              <a:latin typeface="Amasis MT Pro Medium" panose="02040604050005020304" pitchFamily="18" charset="0"/>
            </a:endParaRPr>
          </a:p>
        </xdr:txBody>
      </xdr:sp>
      <xdr:sp macro="[0]!Sheet1.GoToSheet" textlink="">
        <xdr:nvSpPr>
          <xdr:cNvPr id="13" name="Nav_Dashboard">
            <a:extLst>
              <a:ext uri="{FF2B5EF4-FFF2-40B4-BE49-F238E27FC236}">
                <a16:creationId xmlns:a16="http://schemas.microsoft.com/office/drawing/2014/main" id="{89D75670-1D39-C470-9D50-DB510499C489}"/>
              </a:ext>
            </a:extLst>
          </xdr:cNvPr>
          <xdr:cNvSpPr/>
        </xdr:nvSpPr>
        <xdr:spPr>
          <a:xfrm>
            <a:off x="63500" y="43484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Dashboard</a:t>
            </a:r>
            <a:endParaRPr lang="LID4096" sz="1400" b="1">
              <a:solidFill>
                <a:srgbClr val="000000"/>
              </a:solidFill>
              <a:latin typeface="Amasis MT Pro Medium" panose="02040604050005020304" pitchFamily="18" charset="0"/>
            </a:endParaRPr>
          </a:p>
        </xdr:txBody>
      </xdr:sp>
      <xdr:sp macro="GoToSheet" textlink="">
        <xdr:nvSpPr>
          <xdr:cNvPr id="14" name="Nav_Body Measurements Log">
            <a:extLst>
              <a:ext uri="{FF2B5EF4-FFF2-40B4-BE49-F238E27FC236}">
                <a16:creationId xmlns:a16="http://schemas.microsoft.com/office/drawing/2014/main" id="{BFD49399-AFCF-5255-F2C6-72E41A2CAB8E}"/>
              </a:ext>
            </a:extLst>
          </xdr:cNvPr>
          <xdr:cNvSpPr/>
        </xdr:nvSpPr>
        <xdr:spPr>
          <a:xfrm>
            <a:off x="60960" y="175260"/>
            <a:ext cx="195072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800" b="1">
                <a:solidFill>
                  <a:srgbClr val="000000"/>
                </a:solidFill>
                <a:latin typeface="Amasis MT Pro Medium" panose="02040604050005020304" pitchFamily="18" charset="0"/>
              </a:rPr>
              <a:t>Navigation</a:t>
            </a:r>
            <a:r>
              <a:rPr lang="en-US" sz="1800" b="1" baseline="0">
                <a:solidFill>
                  <a:srgbClr val="000000"/>
                </a:solidFill>
                <a:latin typeface="Amasis MT Pro Medium" panose="02040604050005020304" pitchFamily="18" charset="0"/>
              </a:rPr>
              <a:t> Panel</a:t>
            </a:r>
            <a:endParaRPr lang="LID4096" sz="1800" b="1">
              <a:solidFill>
                <a:srgbClr val="000000"/>
              </a:solidFill>
              <a:latin typeface="Amasis MT Pro Medium" panose="02040604050005020304" pitchFamily="18" charset="0"/>
            </a:endParaRPr>
          </a:p>
        </xdr:txBody>
      </xdr:sp>
    </xdr:grpSp>
    <xdr:clientData/>
  </xdr:twoCellAnchor>
  <xdr:twoCellAnchor>
    <xdr:from>
      <xdr:col>4</xdr:col>
      <xdr:colOff>3810</xdr:colOff>
      <xdr:row>22</xdr:row>
      <xdr:rowOff>85725</xdr:rowOff>
    </xdr:from>
    <xdr:to>
      <xdr:col>6</xdr:col>
      <xdr:colOff>91441</xdr:colOff>
      <xdr:row>32</xdr:row>
      <xdr:rowOff>45720</xdr:rowOff>
    </xdr:to>
    <mc:AlternateContent xmlns:mc="http://schemas.openxmlformats.org/markup-compatibility/2006">
      <mc:Choice xmlns:we="http://schemas.microsoft.com/office/webextensions/webextension/2010/11" Requires="we">
        <xdr:graphicFrame macro="">
          <xdr:nvGraphicFramePr>
            <xdr:cNvPr id="16" name="calenderWorkout" hidden="1" title="Mini Calendar and Date Picker">
              <a:extLst>
                <a:ext uri="{FF2B5EF4-FFF2-40B4-BE49-F238E27FC236}">
                  <a16:creationId xmlns:a16="http://schemas.microsoft.com/office/drawing/2014/main" id="{779AA655-8032-4703-8EE5-F21F6C44868C}"/>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16" name="calenderWorkout" title="Mini Calendar and Date Picker">
              <a:extLst>
                <a:ext uri="{FF2B5EF4-FFF2-40B4-BE49-F238E27FC236}">
                  <a16:creationId xmlns:a16="http://schemas.microsoft.com/office/drawing/2014/main" id="{779AA655-8032-4703-8EE5-F21F6C44868C}"/>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4</xdr:col>
      <xdr:colOff>5715</xdr:colOff>
      <xdr:row>14</xdr:row>
      <xdr:rowOff>43815</xdr:rowOff>
    </xdr:from>
    <xdr:to>
      <xdr:col>5</xdr:col>
      <xdr:colOff>773430</xdr:colOff>
      <xdr:row>24</xdr:row>
      <xdr:rowOff>49530</xdr:rowOff>
    </xdr:to>
    <mc:AlternateContent xmlns:mc="http://schemas.openxmlformats.org/markup-compatibility/2006">
      <mc:Choice xmlns:we="http://schemas.microsoft.com/office/webextensions/webextension/2010/11" Requires="we">
        <xdr:graphicFrame macro="">
          <xdr:nvGraphicFramePr>
            <xdr:cNvPr id="2" name="calender1" title="Mini Calendar and Date Picker">
              <a:extLst>
                <a:ext uri="{FF2B5EF4-FFF2-40B4-BE49-F238E27FC236}">
                  <a16:creationId xmlns:a16="http://schemas.microsoft.com/office/drawing/2014/main" id="{B634FEF0-F0B0-E2B1-4E6A-1EFAAE58AA2B}"/>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2" name="calender1" title="Mini Calendar and Date Picker">
              <a:extLst>
                <a:ext uri="{FF2B5EF4-FFF2-40B4-BE49-F238E27FC236}">
                  <a16:creationId xmlns:a16="http://schemas.microsoft.com/office/drawing/2014/main" id="{B634FEF0-F0B0-E2B1-4E6A-1EFAAE58AA2B}"/>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twoCellAnchor>
    <xdr:from>
      <xdr:col>5</xdr:col>
      <xdr:colOff>22860</xdr:colOff>
      <xdr:row>0</xdr:row>
      <xdr:rowOff>152400</xdr:rowOff>
    </xdr:from>
    <xdr:to>
      <xdr:col>9</xdr:col>
      <xdr:colOff>792480</xdr:colOff>
      <xdr:row>3</xdr:row>
      <xdr:rowOff>53340</xdr:rowOff>
    </xdr:to>
    <xdr:sp macro="" textlink="">
      <xdr:nvSpPr>
        <xdr:cNvPr id="19" name="Rectangle 18">
          <a:extLst>
            <a:ext uri="{FF2B5EF4-FFF2-40B4-BE49-F238E27FC236}">
              <a16:creationId xmlns:a16="http://schemas.microsoft.com/office/drawing/2014/main" id="{B6681C82-BBE9-193B-2E06-622493BE1C8C}"/>
            </a:ext>
          </a:extLst>
        </xdr:cNvPr>
        <xdr:cNvSpPr/>
      </xdr:nvSpPr>
      <xdr:spPr>
        <a:xfrm>
          <a:off x="4015740" y="152400"/>
          <a:ext cx="4503420" cy="4267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ysClr val="windowText" lastClr="000000"/>
              </a:solidFill>
              <a:latin typeface="Amasis MT Pro Black" panose="02040A04050005020304" pitchFamily="18" charset="0"/>
            </a:rPr>
            <a:t>Body Measurements</a:t>
          </a:r>
          <a:r>
            <a:rPr lang="en-US" sz="2400" baseline="0">
              <a:solidFill>
                <a:sysClr val="windowText" lastClr="000000"/>
              </a:solidFill>
              <a:latin typeface="Amasis MT Pro Black" panose="02040A04050005020304" pitchFamily="18" charset="0"/>
            </a:rPr>
            <a:t> Log</a:t>
          </a:r>
          <a:endParaRPr lang="LID4096" sz="2400">
            <a:solidFill>
              <a:sysClr val="windowText" lastClr="000000"/>
            </a:solidFill>
            <a:latin typeface="Amasis MT Pro Black" panose="02040A04050005020304" pitchFamily="18" charset="0"/>
          </a:endParaRPr>
        </a:p>
      </xdr:txBody>
    </xdr:sp>
    <xdr:clientData/>
  </xdr:twoCellAnchor>
  <xdr:twoCellAnchor>
    <xdr:from>
      <xdr:col>0</xdr:col>
      <xdr:colOff>53340</xdr:colOff>
      <xdr:row>0</xdr:row>
      <xdr:rowOff>53340</xdr:rowOff>
    </xdr:from>
    <xdr:to>
      <xdr:col>3</xdr:col>
      <xdr:colOff>121920</xdr:colOff>
      <xdr:row>33</xdr:row>
      <xdr:rowOff>15240</xdr:rowOff>
    </xdr:to>
    <xdr:grpSp>
      <xdr:nvGrpSpPr>
        <xdr:cNvPr id="27" name="Group 26">
          <a:extLst>
            <a:ext uri="{FF2B5EF4-FFF2-40B4-BE49-F238E27FC236}">
              <a16:creationId xmlns:a16="http://schemas.microsoft.com/office/drawing/2014/main" id="{F9933C3D-6778-4DA2-B340-938868C3FCB0}"/>
            </a:ext>
          </a:extLst>
        </xdr:cNvPr>
        <xdr:cNvGrpSpPr/>
      </xdr:nvGrpSpPr>
      <xdr:grpSpPr>
        <a:xfrm>
          <a:off x="57150" y="57150"/>
          <a:ext cx="2219325" cy="5829300"/>
          <a:chOff x="60960" y="175260"/>
          <a:chExt cx="1950720" cy="4630420"/>
        </a:xfrm>
      </xdr:grpSpPr>
      <xdr:sp macro="[0]!Sheet1.GoToSheet" textlink="">
        <xdr:nvSpPr>
          <xdr:cNvPr id="28" name="Nav_Instructions">
            <a:extLst>
              <a:ext uri="{FF2B5EF4-FFF2-40B4-BE49-F238E27FC236}">
                <a16:creationId xmlns:a16="http://schemas.microsoft.com/office/drawing/2014/main" id="{DD835421-2737-2785-991F-F1789B57C16E}"/>
              </a:ext>
            </a:extLst>
          </xdr:cNvPr>
          <xdr:cNvSpPr/>
        </xdr:nvSpPr>
        <xdr:spPr>
          <a:xfrm>
            <a:off x="63500" y="7035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Instructions</a:t>
            </a:r>
            <a:endParaRPr lang="LID4096" sz="1400" b="1">
              <a:solidFill>
                <a:srgbClr val="000000"/>
              </a:solidFill>
              <a:latin typeface="Amasis MT Pro Medium" panose="02040604050005020304" pitchFamily="18" charset="0"/>
            </a:endParaRPr>
          </a:p>
        </xdr:txBody>
      </xdr:sp>
      <xdr:sp macro="[0]!Sheet1.GoToSheet" textlink="">
        <xdr:nvSpPr>
          <xdr:cNvPr id="29" name="Nav_Body Measurements Log">
            <a:extLst>
              <a:ext uri="{FF2B5EF4-FFF2-40B4-BE49-F238E27FC236}">
                <a16:creationId xmlns:a16="http://schemas.microsoft.com/office/drawing/2014/main" id="{16E1F594-856D-8AE4-286F-53EF919F4AC9}"/>
              </a:ext>
            </a:extLst>
          </xdr:cNvPr>
          <xdr:cNvSpPr/>
        </xdr:nvSpPr>
        <xdr:spPr>
          <a:xfrm>
            <a:off x="63500" y="12242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Body Measurements Log</a:t>
            </a:r>
            <a:endParaRPr lang="LID4096" sz="1400" b="1">
              <a:solidFill>
                <a:srgbClr val="000000"/>
              </a:solidFill>
              <a:latin typeface="Amasis MT Pro Medium" panose="02040604050005020304" pitchFamily="18" charset="0"/>
            </a:endParaRPr>
          </a:p>
        </xdr:txBody>
      </xdr:sp>
      <xdr:sp macro="[0]!Sheet1.GoToSheet" textlink="">
        <xdr:nvSpPr>
          <xdr:cNvPr id="30" name="Nav_Workout Log">
            <a:extLst>
              <a:ext uri="{FF2B5EF4-FFF2-40B4-BE49-F238E27FC236}">
                <a16:creationId xmlns:a16="http://schemas.microsoft.com/office/drawing/2014/main" id="{B51F96B8-9A99-0013-E093-7FC0D5273B18}"/>
              </a:ext>
            </a:extLst>
          </xdr:cNvPr>
          <xdr:cNvSpPr/>
        </xdr:nvSpPr>
        <xdr:spPr>
          <a:xfrm>
            <a:off x="63500" y="17449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Workout Log</a:t>
            </a:r>
            <a:endParaRPr lang="LID4096" sz="1400" b="1">
              <a:solidFill>
                <a:srgbClr val="000000"/>
              </a:solidFill>
              <a:latin typeface="Amasis MT Pro Medium" panose="02040604050005020304" pitchFamily="18" charset="0"/>
            </a:endParaRPr>
          </a:p>
        </xdr:txBody>
      </xdr:sp>
      <xdr:sp macro="[0]!Sheet1.GoToSheet" textlink="">
        <xdr:nvSpPr>
          <xdr:cNvPr id="31" name="Nav_Diet Plan Log">
            <a:extLst>
              <a:ext uri="{FF2B5EF4-FFF2-40B4-BE49-F238E27FC236}">
                <a16:creationId xmlns:a16="http://schemas.microsoft.com/office/drawing/2014/main" id="{64FAF0CA-B6D5-B1B1-84AB-F8A50F47E3CF}"/>
              </a:ext>
            </a:extLst>
          </xdr:cNvPr>
          <xdr:cNvSpPr/>
        </xdr:nvSpPr>
        <xdr:spPr>
          <a:xfrm>
            <a:off x="63500" y="22656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Diet Plan Log</a:t>
            </a:r>
            <a:endParaRPr lang="LID4096" sz="1400" b="1">
              <a:solidFill>
                <a:srgbClr val="000000"/>
              </a:solidFill>
              <a:latin typeface="Amasis MT Pro Medium" panose="02040604050005020304" pitchFamily="18" charset="0"/>
            </a:endParaRPr>
          </a:p>
        </xdr:txBody>
      </xdr:sp>
      <xdr:sp macro="[0]!Sheet1.GoToSheet" textlink="">
        <xdr:nvSpPr>
          <xdr:cNvPr id="32" name="Nav_FoodDB">
            <a:extLst>
              <a:ext uri="{FF2B5EF4-FFF2-40B4-BE49-F238E27FC236}">
                <a16:creationId xmlns:a16="http://schemas.microsoft.com/office/drawing/2014/main" id="{170E21FA-DF22-4FC5-6C9C-8ECE1A2BAB0E}"/>
              </a:ext>
            </a:extLst>
          </xdr:cNvPr>
          <xdr:cNvSpPr/>
        </xdr:nvSpPr>
        <xdr:spPr>
          <a:xfrm>
            <a:off x="63500" y="27863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FoodDB</a:t>
            </a:r>
            <a:endParaRPr lang="LID4096" sz="1400" b="1">
              <a:solidFill>
                <a:srgbClr val="000000"/>
              </a:solidFill>
              <a:latin typeface="Amasis MT Pro Medium" panose="02040604050005020304" pitchFamily="18" charset="0"/>
            </a:endParaRPr>
          </a:p>
        </xdr:txBody>
      </xdr:sp>
      <xdr:sp macro="[0]!Sheet1.GoToSheet" textlink="">
        <xdr:nvSpPr>
          <xdr:cNvPr id="33" name="Nav_ExerciseDB">
            <a:extLst>
              <a:ext uri="{FF2B5EF4-FFF2-40B4-BE49-F238E27FC236}">
                <a16:creationId xmlns:a16="http://schemas.microsoft.com/office/drawing/2014/main" id="{C2F383FD-4F62-E4B7-F44B-90891465DABD}"/>
              </a:ext>
            </a:extLst>
          </xdr:cNvPr>
          <xdr:cNvSpPr/>
        </xdr:nvSpPr>
        <xdr:spPr>
          <a:xfrm>
            <a:off x="63500" y="33070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ExerciseDB</a:t>
            </a:r>
            <a:endParaRPr lang="LID4096" sz="1400" b="1">
              <a:solidFill>
                <a:srgbClr val="000000"/>
              </a:solidFill>
              <a:latin typeface="Amasis MT Pro Medium" panose="02040604050005020304" pitchFamily="18" charset="0"/>
            </a:endParaRPr>
          </a:p>
        </xdr:txBody>
      </xdr:sp>
      <xdr:sp macro="[0]!Sheet1.GoToSheet" textlink="">
        <xdr:nvSpPr>
          <xdr:cNvPr id="34" name="Nav_Weekly Progress">
            <a:extLst>
              <a:ext uri="{FF2B5EF4-FFF2-40B4-BE49-F238E27FC236}">
                <a16:creationId xmlns:a16="http://schemas.microsoft.com/office/drawing/2014/main" id="{D5F81C81-96FB-3177-B9F4-6746CCA24B52}"/>
              </a:ext>
            </a:extLst>
          </xdr:cNvPr>
          <xdr:cNvSpPr/>
        </xdr:nvSpPr>
        <xdr:spPr>
          <a:xfrm>
            <a:off x="63500" y="38277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Weekly Progress</a:t>
            </a:r>
            <a:endParaRPr lang="LID4096" sz="1400" b="1">
              <a:solidFill>
                <a:srgbClr val="000000"/>
              </a:solidFill>
              <a:latin typeface="Amasis MT Pro Medium" panose="02040604050005020304" pitchFamily="18" charset="0"/>
            </a:endParaRPr>
          </a:p>
        </xdr:txBody>
      </xdr:sp>
      <xdr:sp macro="[0]!Sheet1.GoToSheet" textlink="">
        <xdr:nvSpPr>
          <xdr:cNvPr id="35" name="Nav_Dashboard">
            <a:extLst>
              <a:ext uri="{FF2B5EF4-FFF2-40B4-BE49-F238E27FC236}">
                <a16:creationId xmlns:a16="http://schemas.microsoft.com/office/drawing/2014/main" id="{3C1AC735-E833-EB61-617D-0733D6AD7C56}"/>
              </a:ext>
            </a:extLst>
          </xdr:cNvPr>
          <xdr:cNvSpPr/>
        </xdr:nvSpPr>
        <xdr:spPr>
          <a:xfrm>
            <a:off x="63500" y="43484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Dashboard</a:t>
            </a:r>
            <a:endParaRPr lang="LID4096" sz="1400" b="1">
              <a:solidFill>
                <a:srgbClr val="000000"/>
              </a:solidFill>
              <a:latin typeface="Amasis MT Pro Medium" panose="02040604050005020304" pitchFamily="18" charset="0"/>
            </a:endParaRPr>
          </a:p>
        </xdr:txBody>
      </xdr:sp>
      <xdr:sp macro="GoToSheet" textlink="">
        <xdr:nvSpPr>
          <xdr:cNvPr id="36" name="Nav_Body Measurements Log">
            <a:extLst>
              <a:ext uri="{FF2B5EF4-FFF2-40B4-BE49-F238E27FC236}">
                <a16:creationId xmlns:a16="http://schemas.microsoft.com/office/drawing/2014/main" id="{CB0A6869-E93D-5FC5-CC8D-D46EC51C9262}"/>
              </a:ext>
            </a:extLst>
          </xdr:cNvPr>
          <xdr:cNvSpPr/>
        </xdr:nvSpPr>
        <xdr:spPr>
          <a:xfrm>
            <a:off x="60960" y="175260"/>
            <a:ext cx="195072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800" b="1">
                <a:solidFill>
                  <a:srgbClr val="000000"/>
                </a:solidFill>
                <a:latin typeface="Amasis MT Pro Medium" panose="02040604050005020304" pitchFamily="18" charset="0"/>
              </a:rPr>
              <a:t>Navigation</a:t>
            </a:r>
            <a:r>
              <a:rPr lang="en-US" sz="1800" b="1" baseline="0">
                <a:solidFill>
                  <a:srgbClr val="000000"/>
                </a:solidFill>
                <a:latin typeface="Amasis MT Pro Medium" panose="02040604050005020304" pitchFamily="18" charset="0"/>
              </a:rPr>
              <a:t> Panel</a:t>
            </a:r>
            <a:endParaRPr lang="LID4096" sz="1800" b="1">
              <a:solidFill>
                <a:srgbClr val="000000"/>
              </a:solidFill>
              <a:latin typeface="Amasis MT Pro Medium" panose="02040604050005020304" pitchFamily="18" charset="0"/>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7620</xdr:colOff>
      <xdr:row>21</xdr:row>
      <xdr:rowOff>72390</xdr:rowOff>
    </xdr:from>
    <xdr:to>
      <xdr:col>6</xdr:col>
      <xdr:colOff>318135</xdr:colOff>
      <xdr:row>31</xdr:row>
      <xdr:rowOff>72391</xdr:rowOff>
    </xdr:to>
    <mc:AlternateContent xmlns:mc="http://schemas.openxmlformats.org/markup-compatibility/2006">
      <mc:Choice xmlns:we="http://schemas.microsoft.com/office/webextensions/webextension/2010/11" Requires="we">
        <xdr:graphicFrame macro="">
          <xdr:nvGraphicFramePr>
            <xdr:cNvPr id="2" name="calender" title="Mini Calendar and Date Picker">
              <a:extLst>
                <a:ext uri="{FF2B5EF4-FFF2-40B4-BE49-F238E27FC236}">
                  <a16:creationId xmlns:a16="http://schemas.microsoft.com/office/drawing/2014/main" id="{B66F1948-1E5B-4540-8ADD-860FC05B3B8A}"/>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2" name="calender" title="Mini Calendar and Date Picker">
              <a:extLst>
                <a:ext uri="{FF2B5EF4-FFF2-40B4-BE49-F238E27FC236}">
                  <a16:creationId xmlns:a16="http://schemas.microsoft.com/office/drawing/2014/main" id="{B66F1948-1E5B-4540-8ADD-860FC05B3B8A}"/>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twoCellAnchor>
    <xdr:from>
      <xdr:col>7</xdr:col>
      <xdr:colOff>0</xdr:colOff>
      <xdr:row>1</xdr:row>
      <xdr:rowOff>0</xdr:rowOff>
    </xdr:from>
    <xdr:to>
      <xdr:col>9</xdr:col>
      <xdr:colOff>398145</xdr:colOff>
      <xdr:row>3</xdr:row>
      <xdr:rowOff>26670</xdr:rowOff>
    </xdr:to>
    <xdr:sp macro="" textlink="">
      <xdr:nvSpPr>
        <xdr:cNvPr id="15" name="Rectangle 14">
          <a:extLst>
            <a:ext uri="{FF2B5EF4-FFF2-40B4-BE49-F238E27FC236}">
              <a16:creationId xmlns:a16="http://schemas.microsoft.com/office/drawing/2014/main" id="{11562AEC-528A-4153-A929-EF7C0022E774}"/>
            </a:ext>
          </a:extLst>
        </xdr:cNvPr>
        <xdr:cNvSpPr/>
      </xdr:nvSpPr>
      <xdr:spPr>
        <a:xfrm>
          <a:off x="5610225" y="171450"/>
          <a:ext cx="4503420" cy="4267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ysClr val="windowText" lastClr="000000"/>
              </a:solidFill>
              <a:latin typeface="Amasis MT Pro Black" panose="02040A04050005020304" pitchFamily="18" charset="0"/>
            </a:rPr>
            <a:t>Diet Plan </a:t>
          </a:r>
          <a:r>
            <a:rPr lang="en-US" sz="2400" baseline="0">
              <a:solidFill>
                <a:sysClr val="windowText" lastClr="000000"/>
              </a:solidFill>
              <a:latin typeface="Amasis MT Pro Black" panose="02040A04050005020304" pitchFamily="18" charset="0"/>
            </a:rPr>
            <a:t>Log</a:t>
          </a:r>
          <a:endParaRPr lang="LID4096" sz="2400">
            <a:solidFill>
              <a:sysClr val="windowText" lastClr="000000"/>
            </a:solidFill>
            <a:latin typeface="Amasis MT Pro Black" panose="02040A04050005020304" pitchFamily="18" charset="0"/>
          </a:endParaRPr>
        </a:p>
      </xdr:txBody>
    </xdr:sp>
    <xdr:clientData/>
  </xdr:twoCellAnchor>
  <xdr:twoCellAnchor>
    <xdr:from>
      <xdr:col>0</xdr:col>
      <xdr:colOff>53340</xdr:colOff>
      <xdr:row>0</xdr:row>
      <xdr:rowOff>60960</xdr:rowOff>
    </xdr:from>
    <xdr:to>
      <xdr:col>3</xdr:col>
      <xdr:colOff>15240</xdr:colOff>
      <xdr:row>33</xdr:row>
      <xdr:rowOff>91440</xdr:rowOff>
    </xdr:to>
    <xdr:grpSp>
      <xdr:nvGrpSpPr>
        <xdr:cNvPr id="16" name="Group 15">
          <a:extLst>
            <a:ext uri="{FF2B5EF4-FFF2-40B4-BE49-F238E27FC236}">
              <a16:creationId xmlns:a16="http://schemas.microsoft.com/office/drawing/2014/main" id="{24D6CF27-ADB6-4154-B6C2-053F98414010}"/>
            </a:ext>
          </a:extLst>
        </xdr:cNvPr>
        <xdr:cNvGrpSpPr/>
      </xdr:nvGrpSpPr>
      <xdr:grpSpPr>
        <a:xfrm>
          <a:off x="57150" y="57150"/>
          <a:ext cx="2190750" cy="5810250"/>
          <a:chOff x="60960" y="175260"/>
          <a:chExt cx="1950720" cy="4630420"/>
        </a:xfrm>
      </xdr:grpSpPr>
      <xdr:sp macro="[0]!Sheet1.GoToSheet" textlink="">
        <xdr:nvSpPr>
          <xdr:cNvPr id="17" name="Nav_Instructions">
            <a:extLst>
              <a:ext uri="{FF2B5EF4-FFF2-40B4-BE49-F238E27FC236}">
                <a16:creationId xmlns:a16="http://schemas.microsoft.com/office/drawing/2014/main" id="{6594BE1C-1DAA-57A8-4DC3-8C51AF2BB27F}"/>
              </a:ext>
            </a:extLst>
          </xdr:cNvPr>
          <xdr:cNvSpPr/>
        </xdr:nvSpPr>
        <xdr:spPr>
          <a:xfrm>
            <a:off x="63500" y="7035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Instructions</a:t>
            </a:r>
            <a:endParaRPr lang="LID4096" sz="1400" b="1">
              <a:solidFill>
                <a:srgbClr val="000000"/>
              </a:solidFill>
              <a:latin typeface="Amasis MT Pro Medium" panose="02040604050005020304" pitchFamily="18" charset="0"/>
            </a:endParaRPr>
          </a:p>
        </xdr:txBody>
      </xdr:sp>
      <xdr:sp macro="[0]!Sheet1.GoToSheet" textlink="">
        <xdr:nvSpPr>
          <xdr:cNvPr id="18" name="Nav_Body Measurements Log">
            <a:extLst>
              <a:ext uri="{FF2B5EF4-FFF2-40B4-BE49-F238E27FC236}">
                <a16:creationId xmlns:a16="http://schemas.microsoft.com/office/drawing/2014/main" id="{E8CD11EB-3CF2-3C8D-00E1-E1E61DCE0E16}"/>
              </a:ext>
            </a:extLst>
          </xdr:cNvPr>
          <xdr:cNvSpPr/>
        </xdr:nvSpPr>
        <xdr:spPr>
          <a:xfrm>
            <a:off x="63500" y="12242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Body Measurements Log</a:t>
            </a:r>
            <a:endParaRPr lang="LID4096" sz="1400" b="1">
              <a:solidFill>
                <a:srgbClr val="000000"/>
              </a:solidFill>
              <a:latin typeface="Amasis MT Pro Medium" panose="02040604050005020304" pitchFamily="18" charset="0"/>
            </a:endParaRPr>
          </a:p>
        </xdr:txBody>
      </xdr:sp>
      <xdr:sp macro="[0]!Sheet1.GoToSheet" textlink="">
        <xdr:nvSpPr>
          <xdr:cNvPr id="19" name="Nav_Workout Log">
            <a:extLst>
              <a:ext uri="{FF2B5EF4-FFF2-40B4-BE49-F238E27FC236}">
                <a16:creationId xmlns:a16="http://schemas.microsoft.com/office/drawing/2014/main" id="{8D2DBDA5-0001-9CFB-CE5A-9E146A6F8A9B}"/>
              </a:ext>
            </a:extLst>
          </xdr:cNvPr>
          <xdr:cNvSpPr/>
        </xdr:nvSpPr>
        <xdr:spPr>
          <a:xfrm>
            <a:off x="63500" y="17449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Workout Log</a:t>
            </a:r>
            <a:endParaRPr lang="LID4096" sz="1400" b="1">
              <a:solidFill>
                <a:srgbClr val="000000"/>
              </a:solidFill>
              <a:latin typeface="Amasis MT Pro Medium" panose="02040604050005020304" pitchFamily="18" charset="0"/>
            </a:endParaRPr>
          </a:p>
        </xdr:txBody>
      </xdr:sp>
      <xdr:sp macro="[0]!Sheet1.GoToSheet" textlink="">
        <xdr:nvSpPr>
          <xdr:cNvPr id="20" name="Nav_Diet Plan Log">
            <a:extLst>
              <a:ext uri="{FF2B5EF4-FFF2-40B4-BE49-F238E27FC236}">
                <a16:creationId xmlns:a16="http://schemas.microsoft.com/office/drawing/2014/main" id="{C53C52F6-86AD-EB7A-7E65-78D3EBB4AC02}"/>
              </a:ext>
            </a:extLst>
          </xdr:cNvPr>
          <xdr:cNvSpPr/>
        </xdr:nvSpPr>
        <xdr:spPr>
          <a:xfrm>
            <a:off x="63500" y="22656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Diet Plan Log</a:t>
            </a:r>
            <a:endParaRPr lang="LID4096" sz="1400" b="1">
              <a:solidFill>
                <a:srgbClr val="000000"/>
              </a:solidFill>
              <a:latin typeface="Amasis MT Pro Medium" panose="02040604050005020304" pitchFamily="18" charset="0"/>
            </a:endParaRPr>
          </a:p>
        </xdr:txBody>
      </xdr:sp>
      <xdr:sp macro="[0]!Sheet1.GoToSheet" textlink="">
        <xdr:nvSpPr>
          <xdr:cNvPr id="21" name="Nav_FoodDB">
            <a:extLst>
              <a:ext uri="{FF2B5EF4-FFF2-40B4-BE49-F238E27FC236}">
                <a16:creationId xmlns:a16="http://schemas.microsoft.com/office/drawing/2014/main" id="{68E8C416-1656-10D8-5B4E-B8F7B6643C3D}"/>
              </a:ext>
            </a:extLst>
          </xdr:cNvPr>
          <xdr:cNvSpPr/>
        </xdr:nvSpPr>
        <xdr:spPr>
          <a:xfrm>
            <a:off x="63500" y="27863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FoodDB</a:t>
            </a:r>
            <a:endParaRPr lang="LID4096" sz="1400" b="1">
              <a:solidFill>
                <a:srgbClr val="000000"/>
              </a:solidFill>
              <a:latin typeface="Amasis MT Pro Medium" panose="02040604050005020304" pitchFamily="18" charset="0"/>
            </a:endParaRPr>
          </a:p>
        </xdr:txBody>
      </xdr:sp>
      <xdr:sp macro="[0]!Sheet1.GoToSheet" textlink="">
        <xdr:nvSpPr>
          <xdr:cNvPr id="22" name="Nav_ExerciseDB">
            <a:extLst>
              <a:ext uri="{FF2B5EF4-FFF2-40B4-BE49-F238E27FC236}">
                <a16:creationId xmlns:a16="http://schemas.microsoft.com/office/drawing/2014/main" id="{79570DBC-B4FD-2858-D63B-7CF9D24A5F33}"/>
              </a:ext>
            </a:extLst>
          </xdr:cNvPr>
          <xdr:cNvSpPr/>
        </xdr:nvSpPr>
        <xdr:spPr>
          <a:xfrm>
            <a:off x="63500" y="33070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ExerciseDB</a:t>
            </a:r>
            <a:endParaRPr lang="LID4096" sz="1400" b="1">
              <a:solidFill>
                <a:srgbClr val="000000"/>
              </a:solidFill>
              <a:latin typeface="Amasis MT Pro Medium" panose="02040604050005020304" pitchFamily="18" charset="0"/>
            </a:endParaRPr>
          </a:p>
        </xdr:txBody>
      </xdr:sp>
      <xdr:sp macro="[0]!Sheet1.GoToSheet" textlink="">
        <xdr:nvSpPr>
          <xdr:cNvPr id="23" name="Nav_Weekly Progress">
            <a:extLst>
              <a:ext uri="{FF2B5EF4-FFF2-40B4-BE49-F238E27FC236}">
                <a16:creationId xmlns:a16="http://schemas.microsoft.com/office/drawing/2014/main" id="{F2E8C2C6-1841-B8FA-363F-BB83D524369A}"/>
              </a:ext>
            </a:extLst>
          </xdr:cNvPr>
          <xdr:cNvSpPr/>
        </xdr:nvSpPr>
        <xdr:spPr>
          <a:xfrm>
            <a:off x="63500" y="38277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Weekly Progress</a:t>
            </a:r>
            <a:endParaRPr lang="LID4096" sz="1400" b="1">
              <a:solidFill>
                <a:srgbClr val="000000"/>
              </a:solidFill>
              <a:latin typeface="Amasis MT Pro Medium" panose="02040604050005020304" pitchFamily="18" charset="0"/>
            </a:endParaRPr>
          </a:p>
        </xdr:txBody>
      </xdr:sp>
      <xdr:sp macro="[0]!Sheet1.GoToSheet" textlink="">
        <xdr:nvSpPr>
          <xdr:cNvPr id="24" name="Nav_Dashboard">
            <a:extLst>
              <a:ext uri="{FF2B5EF4-FFF2-40B4-BE49-F238E27FC236}">
                <a16:creationId xmlns:a16="http://schemas.microsoft.com/office/drawing/2014/main" id="{EDB473CD-66D1-7C85-ABD8-CD3A21FC390F}"/>
              </a:ext>
            </a:extLst>
          </xdr:cNvPr>
          <xdr:cNvSpPr/>
        </xdr:nvSpPr>
        <xdr:spPr>
          <a:xfrm>
            <a:off x="63500" y="43484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Dashboard</a:t>
            </a:r>
            <a:endParaRPr lang="LID4096" sz="1400" b="1">
              <a:solidFill>
                <a:srgbClr val="000000"/>
              </a:solidFill>
              <a:latin typeface="Amasis MT Pro Medium" panose="02040604050005020304" pitchFamily="18" charset="0"/>
            </a:endParaRPr>
          </a:p>
        </xdr:txBody>
      </xdr:sp>
      <xdr:sp macro="GoToSheet" textlink="">
        <xdr:nvSpPr>
          <xdr:cNvPr id="25" name="Nav_Body Measurements Log">
            <a:extLst>
              <a:ext uri="{FF2B5EF4-FFF2-40B4-BE49-F238E27FC236}">
                <a16:creationId xmlns:a16="http://schemas.microsoft.com/office/drawing/2014/main" id="{52864A7E-2C19-E51F-974C-620DA6BA7478}"/>
              </a:ext>
            </a:extLst>
          </xdr:cNvPr>
          <xdr:cNvSpPr/>
        </xdr:nvSpPr>
        <xdr:spPr>
          <a:xfrm>
            <a:off x="60960" y="175260"/>
            <a:ext cx="195072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800" b="1">
                <a:solidFill>
                  <a:srgbClr val="000000"/>
                </a:solidFill>
                <a:latin typeface="Amasis MT Pro Medium" panose="02040604050005020304" pitchFamily="18" charset="0"/>
              </a:rPr>
              <a:t>Navigation</a:t>
            </a:r>
            <a:r>
              <a:rPr lang="en-US" sz="1800" b="1" baseline="0">
                <a:solidFill>
                  <a:srgbClr val="000000"/>
                </a:solidFill>
                <a:latin typeface="Amasis MT Pro Medium" panose="02040604050005020304" pitchFamily="18" charset="0"/>
              </a:rPr>
              <a:t> Panel</a:t>
            </a:r>
            <a:endParaRPr lang="LID4096" sz="1800" b="1">
              <a:solidFill>
                <a:srgbClr val="000000"/>
              </a:solidFill>
              <a:latin typeface="Amasis MT Pro Medium" panose="02040604050005020304" pitchFamily="18" charset="0"/>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883920</xdr:colOff>
      <xdr:row>0</xdr:row>
      <xdr:rowOff>160020</xdr:rowOff>
    </xdr:from>
    <xdr:to>
      <xdr:col>6</xdr:col>
      <xdr:colOff>807720</xdr:colOff>
      <xdr:row>3</xdr:row>
      <xdr:rowOff>64770</xdr:rowOff>
    </xdr:to>
    <xdr:sp macro="" textlink="">
      <xdr:nvSpPr>
        <xdr:cNvPr id="2" name="Rectangle 1">
          <a:extLst>
            <a:ext uri="{FF2B5EF4-FFF2-40B4-BE49-F238E27FC236}">
              <a16:creationId xmlns:a16="http://schemas.microsoft.com/office/drawing/2014/main" id="{4FA97801-7E39-4131-ADE1-DC54E401C2F5}"/>
            </a:ext>
          </a:extLst>
        </xdr:cNvPr>
        <xdr:cNvSpPr/>
      </xdr:nvSpPr>
      <xdr:spPr>
        <a:xfrm>
          <a:off x="4640580" y="160020"/>
          <a:ext cx="3497580" cy="43053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ysClr val="windowText" lastClr="000000"/>
              </a:solidFill>
              <a:latin typeface="Amasis MT Pro Black" panose="02040A04050005020304" pitchFamily="18" charset="0"/>
            </a:rPr>
            <a:t>Exercise Database</a:t>
          </a:r>
          <a:endParaRPr lang="LID4096" sz="2400">
            <a:solidFill>
              <a:sysClr val="windowText" lastClr="000000"/>
            </a:solidFill>
            <a:latin typeface="Amasis MT Pro Black" panose="02040A04050005020304" pitchFamily="18" charset="0"/>
          </a:endParaRPr>
        </a:p>
      </xdr:txBody>
    </xdr:sp>
    <xdr:clientData/>
  </xdr:twoCellAnchor>
  <xdr:twoCellAnchor>
    <xdr:from>
      <xdr:col>0</xdr:col>
      <xdr:colOff>60960</xdr:colOff>
      <xdr:row>0</xdr:row>
      <xdr:rowOff>76200</xdr:rowOff>
    </xdr:from>
    <xdr:to>
      <xdr:col>2</xdr:col>
      <xdr:colOff>708660</xdr:colOff>
      <xdr:row>34</xdr:row>
      <xdr:rowOff>38100</xdr:rowOff>
    </xdr:to>
    <xdr:grpSp>
      <xdr:nvGrpSpPr>
        <xdr:cNvPr id="3" name="Group 2">
          <a:extLst>
            <a:ext uri="{FF2B5EF4-FFF2-40B4-BE49-F238E27FC236}">
              <a16:creationId xmlns:a16="http://schemas.microsoft.com/office/drawing/2014/main" id="{444055E6-33B0-4055-BEBF-D256C2EABA24}"/>
            </a:ext>
          </a:extLst>
        </xdr:cNvPr>
        <xdr:cNvGrpSpPr/>
      </xdr:nvGrpSpPr>
      <xdr:grpSpPr>
        <a:xfrm>
          <a:off x="57150" y="76200"/>
          <a:ext cx="2209800" cy="5791200"/>
          <a:chOff x="60960" y="175260"/>
          <a:chExt cx="1950720" cy="4630420"/>
        </a:xfrm>
      </xdr:grpSpPr>
      <xdr:sp macro="[0]!Sheet1.GoToSheet" textlink="">
        <xdr:nvSpPr>
          <xdr:cNvPr id="4" name="Nav_Instructions">
            <a:extLst>
              <a:ext uri="{FF2B5EF4-FFF2-40B4-BE49-F238E27FC236}">
                <a16:creationId xmlns:a16="http://schemas.microsoft.com/office/drawing/2014/main" id="{0AE6FFD3-ECE9-D1CF-939A-BC787093CB8A}"/>
              </a:ext>
            </a:extLst>
          </xdr:cNvPr>
          <xdr:cNvSpPr/>
        </xdr:nvSpPr>
        <xdr:spPr>
          <a:xfrm>
            <a:off x="63500" y="7035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Instructions</a:t>
            </a:r>
            <a:endParaRPr lang="LID4096" sz="1400" b="1">
              <a:solidFill>
                <a:srgbClr val="000000"/>
              </a:solidFill>
              <a:latin typeface="Amasis MT Pro Medium" panose="02040604050005020304" pitchFamily="18" charset="0"/>
            </a:endParaRPr>
          </a:p>
        </xdr:txBody>
      </xdr:sp>
      <xdr:sp macro="[0]!Sheet1.GoToSheet" textlink="">
        <xdr:nvSpPr>
          <xdr:cNvPr id="5" name="Nav_Body Measurements Log">
            <a:extLst>
              <a:ext uri="{FF2B5EF4-FFF2-40B4-BE49-F238E27FC236}">
                <a16:creationId xmlns:a16="http://schemas.microsoft.com/office/drawing/2014/main" id="{49FC4827-3286-EC44-B03F-9B3864F583F7}"/>
              </a:ext>
            </a:extLst>
          </xdr:cNvPr>
          <xdr:cNvSpPr/>
        </xdr:nvSpPr>
        <xdr:spPr>
          <a:xfrm>
            <a:off x="63500" y="12242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Body Measurements Log</a:t>
            </a:r>
            <a:endParaRPr lang="LID4096" sz="1400" b="1">
              <a:solidFill>
                <a:srgbClr val="000000"/>
              </a:solidFill>
              <a:latin typeface="Amasis MT Pro Medium" panose="02040604050005020304" pitchFamily="18" charset="0"/>
            </a:endParaRPr>
          </a:p>
        </xdr:txBody>
      </xdr:sp>
      <xdr:sp macro="[0]!Sheet1.GoToSheet" textlink="">
        <xdr:nvSpPr>
          <xdr:cNvPr id="6" name="Nav_Workout Log">
            <a:extLst>
              <a:ext uri="{FF2B5EF4-FFF2-40B4-BE49-F238E27FC236}">
                <a16:creationId xmlns:a16="http://schemas.microsoft.com/office/drawing/2014/main" id="{FA828836-BDD4-D0C6-6D01-6FFBCDFC4385}"/>
              </a:ext>
            </a:extLst>
          </xdr:cNvPr>
          <xdr:cNvSpPr/>
        </xdr:nvSpPr>
        <xdr:spPr>
          <a:xfrm>
            <a:off x="63500" y="17449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Workout Log</a:t>
            </a:r>
            <a:endParaRPr lang="LID4096" sz="1400" b="1">
              <a:solidFill>
                <a:srgbClr val="000000"/>
              </a:solidFill>
              <a:latin typeface="Amasis MT Pro Medium" panose="02040604050005020304" pitchFamily="18" charset="0"/>
            </a:endParaRPr>
          </a:p>
        </xdr:txBody>
      </xdr:sp>
      <xdr:sp macro="[0]!Sheet1.GoToSheet" textlink="">
        <xdr:nvSpPr>
          <xdr:cNvPr id="7" name="Nav_Diet Plan Log">
            <a:extLst>
              <a:ext uri="{FF2B5EF4-FFF2-40B4-BE49-F238E27FC236}">
                <a16:creationId xmlns:a16="http://schemas.microsoft.com/office/drawing/2014/main" id="{B43AF258-3725-3F30-CEF2-BF12AD1FA372}"/>
              </a:ext>
            </a:extLst>
          </xdr:cNvPr>
          <xdr:cNvSpPr/>
        </xdr:nvSpPr>
        <xdr:spPr>
          <a:xfrm>
            <a:off x="63500" y="22656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Diet Plan Log</a:t>
            </a:r>
            <a:endParaRPr lang="LID4096" sz="1400" b="1">
              <a:solidFill>
                <a:srgbClr val="000000"/>
              </a:solidFill>
              <a:latin typeface="Amasis MT Pro Medium" panose="02040604050005020304" pitchFamily="18" charset="0"/>
            </a:endParaRPr>
          </a:p>
        </xdr:txBody>
      </xdr:sp>
      <xdr:sp macro="[0]!Sheet1.GoToSheet" textlink="">
        <xdr:nvSpPr>
          <xdr:cNvPr id="8" name="Nav_FoodDB">
            <a:extLst>
              <a:ext uri="{FF2B5EF4-FFF2-40B4-BE49-F238E27FC236}">
                <a16:creationId xmlns:a16="http://schemas.microsoft.com/office/drawing/2014/main" id="{585EDE43-76C3-A355-E51F-AA27F64C2DDE}"/>
              </a:ext>
            </a:extLst>
          </xdr:cNvPr>
          <xdr:cNvSpPr/>
        </xdr:nvSpPr>
        <xdr:spPr>
          <a:xfrm>
            <a:off x="63500" y="27863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FoodDB</a:t>
            </a:r>
            <a:endParaRPr lang="LID4096" sz="1400" b="1">
              <a:solidFill>
                <a:srgbClr val="000000"/>
              </a:solidFill>
              <a:latin typeface="Amasis MT Pro Medium" panose="02040604050005020304" pitchFamily="18" charset="0"/>
            </a:endParaRPr>
          </a:p>
        </xdr:txBody>
      </xdr:sp>
      <xdr:sp macro="[0]!Sheet1.GoToSheet" textlink="">
        <xdr:nvSpPr>
          <xdr:cNvPr id="9" name="Nav_ExerciseDB">
            <a:extLst>
              <a:ext uri="{FF2B5EF4-FFF2-40B4-BE49-F238E27FC236}">
                <a16:creationId xmlns:a16="http://schemas.microsoft.com/office/drawing/2014/main" id="{95845B9B-112D-5938-D277-C983794D9D26}"/>
              </a:ext>
            </a:extLst>
          </xdr:cNvPr>
          <xdr:cNvSpPr/>
        </xdr:nvSpPr>
        <xdr:spPr>
          <a:xfrm>
            <a:off x="63500" y="33070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ExerciseDB</a:t>
            </a:r>
            <a:endParaRPr lang="LID4096" sz="1400" b="1">
              <a:solidFill>
                <a:srgbClr val="000000"/>
              </a:solidFill>
              <a:latin typeface="Amasis MT Pro Medium" panose="02040604050005020304" pitchFamily="18" charset="0"/>
            </a:endParaRPr>
          </a:p>
        </xdr:txBody>
      </xdr:sp>
      <xdr:sp macro="[0]!Sheet1.GoToSheet" textlink="">
        <xdr:nvSpPr>
          <xdr:cNvPr id="10" name="Nav_Weekly Progress">
            <a:extLst>
              <a:ext uri="{FF2B5EF4-FFF2-40B4-BE49-F238E27FC236}">
                <a16:creationId xmlns:a16="http://schemas.microsoft.com/office/drawing/2014/main" id="{447BE78A-640F-FBBB-0899-778A64E26E25}"/>
              </a:ext>
            </a:extLst>
          </xdr:cNvPr>
          <xdr:cNvSpPr/>
        </xdr:nvSpPr>
        <xdr:spPr>
          <a:xfrm>
            <a:off x="63500" y="38277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Weekly Progress</a:t>
            </a:r>
            <a:endParaRPr lang="LID4096" sz="1400" b="1">
              <a:solidFill>
                <a:srgbClr val="000000"/>
              </a:solidFill>
              <a:latin typeface="Amasis MT Pro Medium" panose="02040604050005020304" pitchFamily="18" charset="0"/>
            </a:endParaRPr>
          </a:p>
        </xdr:txBody>
      </xdr:sp>
      <xdr:sp macro="[0]!Sheet1.GoToSheet" textlink="">
        <xdr:nvSpPr>
          <xdr:cNvPr id="11" name="Nav_Dashboard">
            <a:extLst>
              <a:ext uri="{FF2B5EF4-FFF2-40B4-BE49-F238E27FC236}">
                <a16:creationId xmlns:a16="http://schemas.microsoft.com/office/drawing/2014/main" id="{FE679C35-E01B-9163-3907-02D10C8CCAAD}"/>
              </a:ext>
            </a:extLst>
          </xdr:cNvPr>
          <xdr:cNvSpPr/>
        </xdr:nvSpPr>
        <xdr:spPr>
          <a:xfrm>
            <a:off x="63500" y="43484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Dashboard</a:t>
            </a:r>
            <a:endParaRPr lang="LID4096" sz="1400" b="1">
              <a:solidFill>
                <a:srgbClr val="000000"/>
              </a:solidFill>
              <a:latin typeface="Amasis MT Pro Medium" panose="02040604050005020304" pitchFamily="18" charset="0"/>
            </a:endParaRPr>
          </a:p>
        </xdr:txBody>
      </xdr:sp>
      <xdr:sp macro="GoToSheet" textlink="">
        <xdr:nvSpPr>
          <xdr:cNvPr id="12" name="Nav_Body Measurements Log">
            <a:extLst>
              <a:ext uri="{FF2B5EF4-FFF2-40B4-BE49-F238E27FC236}">
                <a16:creationId xmlns:a16="http://schemas.microsoft.com/office/drawing/2014/main" id="{CEE51944-C876-5615-E226-1DF6561D5F3F}"/>
              </a:ext>
            </a:extLst>
          </xdr:cNvPr>
          <xdr:cNvSpPr/>
        </xdr:nvSpPr>
        <xdr:spPr>
          <a:xfrm>
            <a:off x="60960" y="175260"/>
            <a:ext cx="195072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800" b="1">
                <a:solidFill>
                  <a:srgbClr val="000000"/>
                </a:solidFill>
                <a:latin typeface="Amasis MT Pro Medium" panose="02040604050005020304" pitchFamily="18" charset="0"/>
              </a:rPr>
              <a:t>Navigation</a:t>
            </a:r>
            <a:r>
              <a:rPr lang="en-US" sz="1800" b="1" baseline="0">
                <a:solidFill>
                  <a:srgbClr val="000000"/>
                </a:solidFill>
                <a:latin typeface="Amasis MT Pro Medium" panose="02040604050005020304" pitchFamily="18" charset="0"/>
              </a:rPr>
              <a:t> Panel</a:t>
            </a:r>
            <a:endParaRPr lang="LID4096" sz="1800" b="1">
              <a:solidFill>
                <a:srgbClr val="000000"/>
              </a:solidFill>
              <a:latin typeface="Amasis MT Pro Medium" panose="02040604050005020304" pitchFamily="18" charset="0"/>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525781</xdr:colOff>
      <xdr:row>0</xdr:row>
      <xdr:rowOff>167640</xdr:rowOff>
    </xdr:from>
    <xdr:to>
      <xdr:col>6</xdr:col>
      <xdr:colOff>777241</xdr:colOff>
      <xdr:row>3</xdr:row>
      <xdr:rowOff>72390</xdr:rowOff>
    </xdr:to>
    <xdr:sp macro="" textlink="">
      <xdr:nvSpPr>
        <xdr:cNvPr id="14" name="Rectangle 13">
          <a:extLst>
            <a:ext uri="{FF2B5EF4-FFF2-40B4-BE49-F238E27FC236}">
              <a16:creationId xmlns:a16="http://schemas.microsoft.com/office/drawing/2014/main" id="{8C8EB627-49CF-484A-8F6E-8719BACD803C}"/>
            </a:ext>
          </a:extLst>
        </xdr:cNvPr>
        <xdr:cNvSpPr/>
      </xdr:nvSpPr>
      <xdr:spPr>
        <a:xfrm>
          <a:off x="4937761" y="167640"/>
          <a:ext cx="2773680" cy="43053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ysClr val="windowText" lastClr="000000"/>
              </a:solidFill>
              <a:latin typeface="Amasis MT Pro Black" panose="02040A04050005020304" pitchFamily="18" charset="0"/>
            </a:rPr>
            <a:t>Food Database</a:t>
          </a:r>
          <a:endParaRPr lang="LID4096" sz="2400">
            <a:solidFill>
              <a:sysClr val="windowText" lastClr="000000"/>
            </a:solidFill>
            <a:latin typeface="Amasis MT Pro Black" panose="02040A04050005020304" pitchFamily="18" charset="0"/>
          </a:endParaRPr>
        </a:p>
      </xdr:txBody>
    </xdr:sp>
    <xdr:clientData/>
  </xdr:twoCellAnchor>
  <xdr:twoCellAnchor>
    <xdr:from>
      <xdr:col>0</xdr:col>
      <xdr:colOff>53340</xdr:colOff>
      <xdr:row>0</xdr:row>
      <xdr:rowOff>60960</xdr:rowOff>
    </xdr:from>
    <xdr:to>
      <xdr:col>3</xdr:col>
      <xdr:colOff>114300</xdr:colOff>
      <xdr:row>34</xdr:row>
      <xdr:rowOff>22860</xdr:rowOff>
    </xdr:to>
    <xdr:grpSp>
      <xdr:nvGrpSpPr>
        <xdr:cNvPr id="15" name="Group 14">
          <a:extLst>
            <a:ext uri="{FF2B5EF4-FFF2-40B4-BE49-F238E27FC236}">
              <a16:creationId xmlns:a16="http://schemas.microsoft.com/office/drawing/2014/main" id="{9ACECCF7-8B6F-4C05-81BB-7E27B9B23C2C}"/>
            </a:ext>
          </a:extLst>
        </xdr:cNvPr>
        <xdr:cNvGrpSpPr/>
      </xdr:nvGrpSpPr>
      <xdr:grpSpPr>
        <a:xfrm>
          <a:off x="57150" y="57150"/>
          <a:ext cx="2257425" cy="5791200"/>
          <a:chOff x="60960" y="175260"/>
          <a:chExt cx="1950720" cy="4630420"/>
        </a:xfrm>
      </xdr:grpSpPr>
      <xdr:sp macro="[0]!Sheet1.GoToSheet" textlink="">
        <xdr:nvSpPr>
          <xdr:cNvPr id="16" name="Nav_Instructions">
            <a:extLst>
              <a:ext uri="{FF2B5EF4-FFF2-40B4-BE49-F238E27FC236}">
                <a16:creationId xmlns:a16="http://schemas.microsoft.com/office/drawing/2014/main" id="{035F72D6-0269-79AD-C4BE-ED488E53AB32}"/>
              </a:ext>
            </a:extLst>
          </xdr:cNvPr>
          <xdr:cNvSpPr/>
        </xdr:nvSpPr>
        <xdr:spPr>
          <a:xfrm>
            <a:off x="63500" y="7035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Instructions</a:t>
            </a:r>
            <a:endParaRPr lang="LID4096" sz="1400" b="1">
              <a:solidFill>
                <a:srgbClr val="000000"/>
              </a:solidFill>
              <a:latin typeface="Amasis MT Pro Medium" panose="02040604050005020304" pitchFamily="18" charset="0"/>
            </a:endParaRPr>
          </a:p>
        </xdr:txBody>
      </xdr:sp>
      <xdr:sp macro="[0]!Sheet1.GoToSheet" textlink="">
        <xdr:nvSpPr>
          <xdr:cNvPr id="17" name="Nav_Body Measurements Log">
            <a:extLst>
              <a:ext uri="{FF2B5EF4-FFF2-40B4-BE49-F238E27FC236}">
                <a16:creationId xmlns:a16="http://schemas.microsoft.com/office/drawing/2014/main" id="{0B2BD131-2A8C-FCC6-EA39-237EAD706EBF}"/>
              </a:ext>
            </a:extLst>
          </xdr:cNvPr>
          <xdr:cNvSpPr/>
        </xdr:nvSpPr>
        <xdr:spPr>
          <a:xfrm>
            <a:off x="63500" y="12242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Body Measurements Log</a:t>
            </a:r>
            <a:endParaRPr lang="LID4096" sz="1400" b="1">
              <a:solidFill>
                <a:srgbClr val="000000"/>
              </a:solidFill>
              <a:latin typeface="Amasis MT Pro Medium" panose="02040604050005020304" pitchFamily="18" charset="0"/>
            </a:endParaRPr>
          </a:p>
        </xdr:txBody>
      </xdr:sp>
      <xdr:sp macro="[0]!Sheet1.GoToSheet" textlink="">
        <xdr:nvSpPr>
          <xdr:cNvPr id="18" name="Nav_Workout Log">
            <a:extLst>
              <a:ext uri="{FF2B5EF4-FFF2-40B4-BE49-F238E27FC236}">
                <a16:creationId xmlns:a16="http://schemas.microsoft.com/office/drawing/2014/main" id="{90CA0AC8-7A18-9485-CEB7-B6021EF506E3}"/>
              </a:ext>
            </a:extLst>
          </xdr:cNvPr>
          <xdr:cNvSpPr/>
        </xdr:nvSpPr>
        <xdr:spPr>
          <a:xfrm>
            <a:off x="63500" y="17449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Workout Log</a:t>
            </a:r>
            <a:endParaRPr lang="LID4096" sz="1400" b="1">
              <a:solidFill>
                <a:srgbClr val="000000"/>
              </a:solidFill>
              <a:latin typeface="Amasis MT Pro Medium" panose="02040604050005020304" pitchFamily="18" charset="0"/>
            </a:endParaRPr>
          </a:p>
        </xdr:txBody>
      </xdr:sp>
      <xdr:sp macro="[0]!Sheet1.GoToSheet" textlink="">
        <xdr:nvSpPr>
          <xdr:cNvPr id="19" name="Nav_Diet Plan Log">
            <a:extLst>
              <a:ext uri="{FF2B5EF4-FFF2-40B4-BE49-F238E27FC236}">
                <a16:creationId xmlns:a16="http://schemas.microsoft.com/office/drawing/2014/main" id="{FE0195DB-62BA-C18B-AA53-ECE5C882C553}"/>
              </a:ext>
            </a:extLst>
          </xdr:cNvPr>
          <xdr:cNvSpPr/>
        </xdr:nvSpPr>
        <xdr:spPr>
          <a:xfrm>
            <a:off x="63500" y="22656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Diet Plan Log</a:t>
            </a:r>
            <a:endParaRPr lang="LID4096" sz="1400" b="1">
              <a:solidFill>
                <a:srgbClr val="000000"/>
              </a:solidFill>
              <a:latin typeface="Amasis MT Pro Medium" panose="02040604050005020304" pitchFamily="18" charset="0"/>
            </a:endParaRPr>
          </a:p>
        </xdr:txBody>
      </xdr:sp>
      <xdr:sp macro="[0]!Sheet1.GoToSheet" textlink="">
        <xdr:nvSpPr>
          <xdr:cNvPr id="20" name="Nav_FoodDB">
            <a:extLst>
              <a:ext uri="{FF2B5EF4-FFF2-40B4-BE49-F238E27FC236}">
                <a16:creationId xmlns:a16="http://schemas.microsoft.com/office/drawing/2014/main" id="{A4DD8CA1-587A-74A9-82A6-56B11C841045}"/>
              </a:ext>
            </a:extLst>
          </xdr:cNvPr>
          <xdr:cNvSpPr/>
        </xdr:nvSpPr>
        <xdr:spPr>
          <a:xfrm>
            <a:off x="63500" y="27863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FoodDB</a:t>
            </a:r>
            <a:endParaRPr lang="LID4096" sz="1400" b="1">
              <a:solidFill>
                <a:srgbClr val="000000"/>
              </a:solidFill>
              <a:latin typeface="Amasis MT Pro Medium" panose="02040604050005020304" pitchFamily="18" charset="0"/>
            </a:endParaRPr>
          </a:p>
        </xdr:txBody>
      </xdr:sp>
      <xdr:sp macro="[0]!Sheet1.GoToSheet" textlink="">
        <xdr:nvSpPr>
          <xdr:cNvPr id="21" name="Nav_ExerciseDB">
            <a:extLst>
              <a:ext uri="{FF2B5EF4-FFF2-40B4-BE49-F238E27FC236}">
                <a16:creationId xmlns:a16="http://schemas.microsoft.com/office/drawing/2014/main" id="{0342EFD1-4B6A-4482-20E3-D1A29F7EC699}"/>
              </a:ext>
            </a:extLst>
          </xdr:cNvPr>
          <xdr:cNvSpPr/>
        </xdr:nvSpPr>
        <xdr:spPr>
          <a:xfrm>
            <a:off x="63500" y="33070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ExerciseDB</a:t>
            </a:r>
            <a:endParaRPr lang="LID4096" sz="1400" b="1">
              <a:solidFill>
                <a:srgbClr val="000000"/>
              </a:solidFill>
              <a:latin typeface="Amasis MT Pro Medium" panose="02040604050005020304" pitchFamily="18" charset="0"/>
            </a:endParaRPr>
          </a:p>
        </xdr:txBody>
      </xdr:sp>
      <xdr:sp macro="[0]!Sheet1.GoToSheet" textlink="">
        <xdr:nvSpPr>
          <xdr:cNvPr id="22" name="Nav_Weekly Progress">
            <a:extLst>
              <a:ext uri="{FF2B5EF4-FFF2-40B4-BE49-F238E27FC236}">
                <a16:creationId xmlns:a16="http://schemas.microsoft.com/office/drawing/2014/main" id="{6A066092-859D-C3D5-2B03-8F51238BE66E}"/>
              </a:ext>
            </a:extLst>
          </xdr:cNvPr>
          <xdr:cNvSpPr/>
        </xdr:nvSpPr>
        <xdr:spPr>
          <a:xfrm>
            <a:off x="63500" y="38277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Weekly Progress</a:t>
            </a:r>
            <a:endParaRPr lang="LID4096" sz="1400" b="1">
              <a:solidFill>
                <a:srgbClr val="000000"/>
              </a:solidFill>
              <a:latin typeface="Amasis MT Pro Medium" panose="02040604050005020304" pitchFamily="18" charset="0"/>
            </a:endParaRPr>
          </a:p>
        </xdr:txBody>
      </xdr:sp>
      <xdr:sp macro="[0]!Sheet1.GoToSheet" textlink="">
        <xdr:nvSpPr>
          <xdr:cNvPr id="23" name="Nav_Dashboard">
            <a:extLst>
              <a:ext uri="{FF2B5EF4-FFF2-40B4-BE49-F238E27FC236}">
                <a16:creationId xmlns:a16="http://schemas.microsoft.com/office/drawing/2014/main" id="{1390FB29-BCCD-60BB-021B-2606603205B0}"/>
              </a:ext>
            </a:extLst>
          </xdr:cNvPr>
          <xdr:cNvSpPr/>
        </xdr:nvSpPr>
        <xdr:spPr>
          <a:xfrm>
            <a:off x="63500" y="43484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Dashboard</a:t>
            </a:r>
            <a:endParaRPr lang="LID4096" sz="1400" b="1">
              <a:solidFill>
                <a:srgbClr val="000000"/>
              </a:solidFill>
              <a:latin typeface="Amasis MT Pro Medium" panose="02040604050005020304" pitchFamily="18" charset="0"/>
            </a:endParaRPr>
          </a:p>
        </xdr:txBody>
      </xdr:sp>
      <xdr:sp macro="GoToSheet" textlink="">
        <xdr:nvSpPr>
          <xdr:cNvPr id="24" name="Nav_Body Measurements Log">
            <a:extLst>
              <a:ext uri="{FF2B5EF4-FFF2-40B4-BE49-F238E27FC236}">
                <a16:creationId xmlns:a16="http://schemas.microsoft.com/office/drawing/2014/main" id="{7C9622A4-6CFE-ACCD-E0FD-1C6F4ED84769}"/>
              </a:ext>
            </a:extLst>
          </xdr:cNvPr>
          <xdr:cNvSpPr/>
        </xdr:nvSpPr>
        <xdr:spPr>
          <a:xfrm>
            <a:off x="60960" y="175260"/>
            <a:ext cx="195072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800" b="1">
                <a:solidFill>
                  <a:srgbClr val="000000"/>
                </a:solidFill>
                <a:latin typeface="Amasis MT Pro Medium" panose="02040604050005020304" pitchFamily="18" charset="0"/>
              </a:rPr>
              <a:t>Navigation</a:t>
            </a:r>
            <a:r>
              <a:rPr lang="en-US" sz="1800" b="1" baseline="0">
                <a:solidFill>
                  <a:srgbClr val="000000"/>
                </a:solidFill>
                <a:latin typeface="Amasis MT Pro Medium" panose="02040604050005020304" pitchFamily="18" charset="0"/>
              </a:rPr>
              <a:t> Panel</a:t>
            </a:r>
            <a:endParaRPr lang="LID4096" sz="1800" b="1">
              <a:solidFill>
                <a:srgbClr val="000000"/>
              </a:solidFill>
              <a:latin typeface="Amasis MT Pro Medium" panose="02040604050005020304" pitchFamily="18" charset="0"/>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87630</xdr:colOff>
      <xdr:row>0</xdr:row>
      <xdr:rowOff>74295</xdr:rowOff>
    </xdr:from>
    <xdr:to>
      <xdr:col>3</xdr:col>
      <xdr:colOff>167640</xdr:colOff>
      <xdr:row>33</xdr:row>
      <xdr:rowOff>114300</xdr:rowOff>
    </xdr:to>
    <xdr:grpSp>
      <xdr:nvGrpSpPr>
        <xdr:cNvPr id="23" name="Group 22">
          <a:extLst>
            <a:ext uri="{FF2B5EF4-FFF2-40B4-BE49-F238E27FC236}">
              <a16:creationId xmlns:a16="http://schemas.microsoft.com/office/drawing/2014/main" id="{B13B5FFB-4A9B-4BAF-883D-157A693CFBCF}"/>
            </a:ext>
          </a:extLst>
        </xdr:cNvPr>
        <xdr:cNvGrpSpPr/>
      </xdr:nvGrpSpPr>
      <xdr:grpSpPr>
        <a:xfrm>
          <a:off x="91440" y="74295"/>
          <a:ext cx="2080260" cy="5697855"/>
          <a:chOff x="60960" y="175260"/>
          <a:chExt cx="1950720" cy="4630420"/>
        </a:xfrm>
      </xdr:grpSpPr>
      <xdr:sp macro="[0]!Sheet1.GoToSheet" textlink="">
        <xdr:nvSpPr>
          <xdr:cNvPr id="24" name="Nav_Instructions">
            <a:extLst>
              <a:ext uri="{FF2B5EF4-FFF2-40B4-BE49-F238E27FC236}">
                <a16:creationId xmlns:a16="http://schemas.microsoft.com/office/drawing/2014/main" id="{DED07698-D37F-8804-5402-471C8552C860}"/>
              </a:ext>
            </a:extLst>
          </xdr:cNvPr>
          <xdr:cNvSpPr/>
        </xdr:nvSpPr>
        <xdr:spPr>
          <a:xfrm>
            <a:off x="63500" y="7035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Instructions</a:t>
            </a:r>
            <a:endParaRPr lang="LID4096" sz="1400" b="1">
              <a:solidFill>
                <a:srgbClr val="000000"/>
              </a:solidFill>
              <a:latin typeface="Amasis MT Pro Medium" panose="02040604050005020304" pitchFamily="18" charset="0"/>
            </a:endParaRPr>
          </a:p>
        </xdr:txBody>
      </xdr:sp>
      <xdr:sp macro="[0]!Sheet1.GoToSheet" textlink="">
        <xdr:nvSpPr>
          <xdr:cNvPr id="25" name="Nav_Body Measurements Log">
            <a:extLst>
              <a:ext uri="{FF2B5EF4-FFF2-40B4-BE49-F238E27FC236}">
                <a16:creationId xmlns:a16="http://schemas.microsoft.com/office/drawing/2014/main" id="{A2803140-05B4-BC78-B205-D655C3C74538}"/>
              </a:ext>
            </a:extLst>
          </xdr:cNvPr>
          <xdr:cNvSpPr/>
        </xdr:nvSpPr>
        <xdr:spPr>
          <a:xfrm>
            <a:off x="63500" y="12242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Body Measurements Log</a:t>
            </a:r>
            <a:endParaRPr lang="LID4096" sz="1400" b="1">
              <a:solidFill>
                <a:srgbClr val="000000"/>
              </a:solidFill>
              <a:latin typeface="Amasis MT Pro Medium" panose="02040604050005020304" pitchFamily="18" charset="0"/>
            </a:endParaRPr>
          </a:p>
        </xdr:txBody>
      </xdr:sp>
      <xdr:sp macro="[0]!Sheet1.GoToSheet" textlink="">
        <xdr:nvSpPr>
          <xdr:cNvPr id="26" name="Nav_Workout Log">
            <a:extLst>
              <a:ext uri="{FF2B5EF4-FFF2-40B4-BE49-F238E27FC236}">
                <a16:creationId xmlns:a16="http://schemas.microsoft.com/office/drawing/2014/main" id="{CA5B6FE9-87D7-9E3E-7231-31EB3188A494}"/>
              </a:ext>
            </a:extLst>
          </xdr:cNvPr>
          <xdr:cNvSpPr/>
        </xdr:nvSpPr>
        <xdr:spPr>
          <a:xfrm>
            <a:off x="63500" y="17449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Workout Log</a:t>
            </a:r>
            <a:endParaRPr lang="LID4096" sz="1400" b="1">
              <a:solidFill>
                <a:srgbClr val="000000"/>
              </a:solidFill>
              <a:latin typeface="Amasis MT Pro Medium" panose="02040604050005020304" pitchFamily="18" charset="0"/>
            </a:endParaRPr>
          </a:p>
        </xdr:txBody>
      </xdr:sp>
      <xdr:sp macro="[0]!Sheet1.GoToSheet" textlink="">
        <xdr:nvSpPr>
          <xdr:cNvPr id="27" name="Nav_Diet Plan Log">
            <a:extLst>
              <a:ext uri="{FF2B5EF4-FFF2-40B4-BE49-F238E27FC236}">
                <a16:creationId xmlns:a16="http://schemas.microsoft.com/office/drawing/2014/main" id="{D052B8CE-2EE4-F7AD-5B87-902205A0A554}"/>
              </a:ext>
            </a:extLst>
          </xdr:cNvPr>
          <xdr:cNvSpPr/>
        </xdr:nvSpPr>
        <xdr:spPr>
          <a:xfrm>
            <a:off x="63500" y="22656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Diet Plan Log</a:t>
            </a:r>
            <a:endParaRPr lang="LID4096" sz="1400" b="1">
              <a:solidFill>
                <a:srgbClr val="000000"/>
              </a:solidFill>
              <a:latin typeface="Amasis MT Pro Medium" panose="02040604050005020304" pitchFamily="18" charset="0"/>
            </a:endParaRPr>
          </a:p>
        </xdr:txBody>
      </xdr:sp>
      <xdr:sp macro="[0]!Sheet1.GoToSheet" textlink="">
        <xdr:nvSpPr>
          <xdr:cNvPr id="28" name="Nav_FoodDB">
            <a:extLst>
              <a:ext uri="{FF2B5EF4-FFF2-40B4-BE49-F238E27FC236}">
                <a16:creationId xmlns:a16="http://schemas.microsoft.com/office/drawing/2014/main" id="{51EAF9DA-C2F3-271A-D78F-F3BB7B196CEF}"/>
              </a:ext>
            </a:extLst>
          </xdr:cNvPr>
          <xdr:cNvSpPr/>
        </xdr:nvSpPr>
        <xdr:spPr>
          <a:xfrm>
            <a:off x="63500" y="27863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FoodDB</a:t>
            </a:r>
            <a:endParaRPr lang="LID4096" sz="1400" b="1">
              <a:solidFill>
                <a:srgbClr val="000000"/>
              </a:solidFill>
              <a:latin typeface="Amasis MT Pro Medium" panose="02040604050005020304" pitchFamily="18" charset="0"/>
            </a:endParaRPr>
          </a:p>
        </xdr:txBody>
      </xdr:sp>
      <xdr:sp macro="[0]!Sheet1.GoToSheet" textlink="">
        <xdr:nvSpPr>
          <xdr:cNvPr id="29" name="Nav_ExerciseDB">
            <a:extLst>
              <a:ext uri="{FF2B5EF4-FFF2-40B4-BE49-F238E27FC236}">
                <a16:creationId xmlns:a16="http://schemas.microsoft.com/office/drawing/2014/main" id="{887CDCEB-73E4-FDB3-BAED-FB3900E5DB78}"/>
              </a:ext>
            </a:extLst>
          </xdr:cNvPr>
          <xdr:cNvSpPr/>
        </xdr:nvSpPr>
        <xdr:spPr>
          <a:xfrm>
            <a:off x="63500" y="33070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ExerciseDB</a:t>
            </a:r>
            <a:endParaRPr lang="LID4096" sz="1400" b="1">
              <a:solidFill>
                <a:srgbClr val="000000"/>
              </a:solidFill>
              <a:latin typeface="Amasis MT Pro Medium" panose="02040604050005020304" pitchFamily="18" charset="0"/>
            </a:endParaRPr>
          </a:p>
        </xdr:txBody>
      </xdr:sp>
      <xdr:sp macro="[0]!Sheet1.GoToSheet" textlink="">
        <xdr:nvSpPr>
          <xdr:cNvPr id="30" name="Nav_Weekly Progress">
            <a:extLst>
              <a:ext uri="{FF2B5EF4-FFF2-40B4-BE49-F238E27FC236}">
                <a16:creationId xmlns:a16="http://schemas.microsoft.com/office/drawing/2014/main" id="{1104EBEE-8F9A-5EAC-6BB3-D64B3440FB8F}"/>
              </a:ext>
            </a:extLst>
          </xdr:cNvPr>
          <xdr:cNvSpPr/>
        </xdr:nvSpPr>
        <xdr:spPr>
          <a:xfrm>
            <a:off x="63500" y="38277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Weekly Progress</a:t>
            </a:r>
            <a:endParaRPr lang="LID4096" sz="1400" b="1">
              <a:solidFill>
                <a:srgbClr val="000000"/>
              </a:solidFill>
              <a:latin typeface="Amasis MT Pro Medium" panose="02040604050005020304" pitchFamily="18" charset="0"/>
            </a:endParaRPr>
          </a:p>
        </xdr:txBody>
      </xdr:sp>
      <xdr:sp macro="[0]!Sheet1.GoToSheet" textlink="">
        <xdr:nvSpPr>
          <xdr:cNvPr id="31" name="Nav_Dashboard">
            <a:extLst>
              <a:ext uri="{FF2B5EF4-FFF2-40B4-BE49-F238E27FC236}">
                <a16:creationId xmlns:a16="http://schemas.microsoft.com/office/drawing/2014/main" id="{7D9FC39A-1D05-E9CD-0E95-0C43DB38CF54}"/>
              </a:ext>
            </a:extLst>
          </xdr:cNvPr>
          <xdr:cNvSpPr/>
        </xdr:nvSpPr>
        <xdr:spPr>
          <a:xfrm>
            <a:off x="63500" y="4348480"/>
            <a:ext cx="171196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400" b="1">
                <a:solidFill>
                  <a:srgbClr val="000000"/>
                </a:solidFill>
                <a:latin typeface="Amasis MT Pro Medium" panose="02040604050005020304" pitchFamily="18" charset="0"/>
              </a:rPr>
              <a:t>Dashboard</a:t>
            </a:r>
            <a:endParaRPr lang="LID4096" sz="1400" b="1">
              <a:solidFill>
                <a:srgbClr val="000000"/>
              </a:solidFill>
              <a:latin typeface="Amasis MT Pro Medium" panose="02040604050005020304" pitchFamily="18" charset="0"/>
            </a:endParaRPr>
          </a:p>
        </xdr:txBody>
      </xdr:sp>
      <xdr:sp macro="[0]!Sheet1.GoToSheet" textlink="">
        <xdr:nvSpPr>
          <xdr:cNvPr id="32" name="Nav_Body Measurements Log">
            <a:extLst>
              <a:ext uri="{FF2B5EF4-FFF2-40B4-BE49-F238E27FC236}">
                <a16:creationId xmlns:a16="http://schemas.microsoft.com/office/drawing/2014/main" id="{A9132DFF-63CB-B511-7D0D-3A2441964C9B}"/>
              </a:ext>
            </a:extLst>
          </xdr:cNvPr>
          <xdr:cNvSpPr/>
        </xdr:nvSpPr>
        <xdr:spPr>
          <a:xfrm>
            <a:off x="60960" y="175260"/>
            <a:ext cx="1950720" cy="457200"/>
          </a:xfrm>
          <a:prstGeom prst="roundRect">
            <a:avLst/>
          </a:prstGeom>
          <a:solidFill>
            <a:schemeClr val="accent3">
              <a:lumMod val="60000"/>
              <a:lumOff val="40000"/>
            </a:schemeClr>
          </a:solidFill>
          <a:ln w="15875"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800" b="1">
                <a:solidFill>
                  <a:srgbClr val="000000"/>
                </a:solidFill>
                <a:latin typeface="Amasis MT Pro Medium" panose="02040604050005020304" pitchFamily="18" charset="0"/>
              </a:rPr>
              <a:t>Navigation</a:t>
            </a:r>
            <a:r>
              <a:rPr lang="en-US" sz="1800" b="1" baseline="0">
                <a:solidFill>
                  <a:srgbClr val="000000"/>
                </a:solidFill>
                <a:latin typeface="Amasis MT Pro Medium" panose="02040604050005020304" pitchFamily="18" charset="0"/>
              </a:rPr>
              <a:t> Panel</a:t>
            </a:r>
            <a:endParaRPr lang="LID4096" sz="1800" b="1">
              <a:solidFill>
                <a:srgbClr val="000000"/>
              </a:solidFill>
              <a:latin typeface="Amasis MT Pro Medium" panose="02040604050005020304" pitchFamily="18" charset="0"/>
            </a:endParaRPr>
          </a:p>
        </xdr:txBody>
      </xdr:sp>
    </xdr:grp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hadija Mustafa" refreshedDate="45908.515328009256" createdVersion="8" refreshedVersion="8" minRefreshableVersion="3" recordCount="18" xr:uid="{13B0418C-1283-4EF2-B614-936BDC6F0CFB}">
  <cacheSource type="worksheet">
    <worksheetSource name="Table5"/>
  </cacheSource>
  <cacheFields count="10">
    <cacheField name="Date" numFmtId="14">
      <sharedItems containsSemiMixedTypes="0" containsNonDate="0" containsDate="1" containsString="0" minDate="2025-08-19T00:00:00" maxDate="2025-09-06T00:00:00"/>
    </cacheField>
    <cacheField name="Week" numFmtId="0">
      <sharedItems containsSemiMixedTypes="0" containsString="0" containsNumber="1" containsInteger="1" minValue="34" maxValue="37" count="4">
        <n v="34"/>
        <n v="35"/>
        <n v="36"/>
        <n v="37" u="1"/>
      </sharedItems>
    </cacheField>
    <cacheField name="Category" numFmtId="0">
      <sharedItems containsBlank="1" count="5">
        <s v="Strength"/>
        <s v="Cardio"/>
        <s v="Flexibility"/>
        <s v="Recovery"/>
        <m u="1"/>
      </sharedItems>
    </cacheField>
    <cacheField name="Exercise" numFmtId="0">
      <sharedItems/>
    </cacheField>
    <cacheField name="Sets" numFmtId="1">
      <sharedItems containsSemiMixedTypes="0" containsString="0" containsNumber="1" minValue="0" maxValue="3.0555555555555598"/>
    </cacheField>
    <cacheField name="Repetitions" numFmtId="1">
      <sharedItems containsSemiMixedTypes="0" containsString="0" containsNumber="1" minValue="-0.266666666666662" maxValue="15"/>
    </cacheField>
    <cacheField name="Duration (mins)" numFmtId="1">
      <sharedItems containsSemiMixedTypes="0" containsString="0" containsNumber="1" minValue="5" maxValue="65.428571428571402"/>
    </cacheField>
    <cacheField name="Weight(kg)" numFmtId="166">
      <sharedItems containsSemiMixedTypes="0" containsString="0" containsNumber="1" minValue="58" maxValue="72"/>
    </cacheField>
    <cacheField name="Calories Burned (kcal)" numFmtId="1">
      <sharedItems containsSemiMixedTypes="0" containsString="0" containsNumber="1" minValue="12.6875" maxValue="469.17599999999976"/>
    </cacheField>
    <cacheField name="Notes"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hadija Mustafa" refreshedDate="45908.515329166665" createdVersion="8" refreshedVersion="8" minRefreshableVersion="3" recordCount="22" xr:uid="{5BACA620-8921-429E-A0D8-485BC0DAC382}">
  <cacheSource type="worksheet">
    <worksheetSource ref="D7:K29" sheet="Body Measurements Log"/>
  </cacheSource>
  <cacheFields count="8">
    <cacheField name="Date" numFmtId="0">
      <sharedItems containsNonDate="0" containsDate="1" containsString="0" containsBlank="1" minDate="2025-08-19T00:00:00" maxDate="2025-09-11T00:00:00" count="24">
        <d v="2025-08-19T00:00:00"/>
        <d v="2025-08-20T00:00:00"/>
        <d v="2025-08-21T00:00:00"/>
        <d v="2025-08-22T00:00:00"/>
        <d v="2025-08-23T00:00:00"/>
        <d v="2025-08-24T00:00:00"/>
        <d v="2025-08-25T00:00:00"/>
        <d v="2025-08-26T00:00:00"/>
        <d v="2025-08-27T00:00:00"/>
        <d v="2025-08-28T00:00:00"/>
        <d v="2025-08-29T00:00:00"/>
        <d v="2025-08-30T00:00:00"/>
        <d v="2025-08-31T00:00:00"/>
        <d v="2025-09-01T00:00:00"/>
        <d v="2025-09-02T00:00:00"/>
        <d v="2025-09-03T00:00:00"/>
        <d v="2025-09-04T00:00:00"/>
        <d v="2025-09-05T00:00:00"/>
        <m/>
        <d v="2025-09-06T00:00:00" u="1"/>
        <d v="2025-09-07T00:00:00" u="1"/>
        <d v="2025-09-08T00:00:00" u="1"/>
        <d v="2025-09-09T00:00:00" u="1"/>
        <d v="2025-09-10T00:00:00" u="1"/>
      </sharedItems>
    </cacheField>
    <cacheField name="Weight (kg)" numFmtId="0">
      <sharedItems containsString="0" containsBlank="1" containsNumber="1" minValue="58" maxValue="72"/>
    </cacheField>
    <cacheField name="Chest (cm)" numFmtId="0">
      <sharedItems containsString="0" containsBlank="1" containsNumber="1" minValue="86.36" maxValue="96.52"/>
    </cacheField>
    <cacheField name="Waist (cm)" numFmtId="0">
      <sharedItems containsString="0" containsBlank="1" containsNumber="1" minValue="63.5" maxValue="71.12"/>
    </cacheField>
    <cacheField name="Hips (cm)" numFmtId="0">
      <sharedItems containsString="0" containsBlank="1" containsNumber="1" minValue="86.36" maxValue="101.6"/>
    </cacheField>
    <cacheField name="Arms (cm)" numFmtId="0">
      <sharedItems containsString="0" containsBlank="1" containsNumber="1" minValue="24.94" maxValue="30.48"/>
    </cacheField>
    <cacheField name="Thighs (cm)" numFmtId="0">
      <sharedItems containsString="0" containsBlank="1" containsNumber="1" minValue="43.18" maxValue="50.8"/>
    </cacheField>
    <cacheField name="BMI" numFmtId="0">
      <sharedItems containsString="0" containsBlank="1" containsNumber="1" minValue="25.103878116343491" maxValue="31.16343490304709"/>
    </cacheField>
  </cacheFields>
  <extLst>
    <ext xmlns:x14="http://schemas.microsoft.com/office/spreadsheetml/2009/9/main" uri="{725AE2AE-9491-48be-B2B4-4EB974FC3084}">
      <x14:pivotCacheDefinition pivotCacheId="41845305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hadija Mustafa" refreshedDate="45908.515331249997" createdVersion="8" refreshedVersion="8" minRefreshableVersion="3" recordCount="80" xr:uid="{ACE48B84-4715-49C6-9D93-E4D4779AFF9F}">
  <cacheSource type="worksheet">
    <worksheetSource ref="D1:G1048576" sheet="Helper"/>
  </cacheSource>
  <cacheFields count="6">
    <cacheField name="Date" numFmtId="0">
      <sharedItems containsNonDate="0" containsDate="1" containsString="0" containsBlank="1" minDate="2025-08-19T00:00:00" maxDate="2025-09-06T00:00:00" count="19">
        <d v="2025-08-19T00:00:00"/>
        <d v="2025-08-20T00:00:00"/>
        <d v="2025-08-21T00:00:00"/>
        <d v="2025-08-22T00:00:00"/>
        <d v="2025-08-23T00:00:00"/>
        <d v="2025-08-24T00:00:00"/>
        <d v="2025-08-25T00:00:00"/>
        <d v="2025-08-26T00:00:00"/>
        <d v="2025-08-27T00:00:00"/>
        <d v="2025-08-28T00:00:00"/>
        <d v="2025-08-29T00:00:00"/>
        <d v="2025-08-30T00:00:00"/>
        <d v="2025-08-31T00:00:00"/>
        <d v="2025-09-01T00:00:00"/>
        <d v="2025-09-02T00:00:00"/>
        <d v="2025-09-03T00:00:00"/>
        <d v="2025-09-04T00:00:00"/>
        <d v="2025-09-05T00:00:00"/>
        <m/>
      </sharedItems>
      <fieldGroup par="5"/>
    </cacheField>
    <cacheField name="Week" numFmtId="0">
      <sharedItems containsString="0" containsBlank="1" containsNumber="1" containsInteger="1" minValue="34" maxValue="36" count="4">
        <n v="34"/>
        <n v="35"/>
        <n v="36"/>
        <m/>
      </sharedItems>
    </cacheField>
    <cacheField name="Calories (kcal)" numFmtId="0">
      <sharedItems containsString="0" containsBlank="1" containsNumber="1" minValue="4.1000000000000005" maxValue="825"/>
    </cacheField>
    <cacheField name="Calories Burned (kcal)" numFmtId="0">
      <sharedItems containsString="0" containsBlank="1" containsNumber="1" minValue="12.6875" maxValue="469.17599999999976"/>
    </cacheField>
    <cacheField name="Days (Date)" numFmtId="0" databaseField="0">
      <fieldGroup base="0">
        <rangePr groupBy="days" startDate="2025-08-19T00:00:00" endDate="2025-09-06T00:00:00"/>
        <groupItems count="368">
          <s v="&lt;8/19/2025"/>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9/6/2025"/>
        </groupItems>
      </fieldGroup>
    </cacheField>
    <cacheField name="Months (Date)" numFmtId="0" databaseField="0">
      <fieldGroup base="0">
        <rangePr groupBy="months" startDate="2025-08-19T00:00:00" endDate="2025-09-06T00:00:00"/>
        <groupItems count="14">
          <s v="&lt;8/19/2025"/>
          <s v="Jan"/>
          <s v="Feb"/>
          <s v="Mar"/>
          <s v="Apr"/>
          <s v="May"/>
          <s v="Jun"/>
          <s v="Jul"/>
          <s v="Aug"/>
          <s v="Sep"/>
          <s v="Oct"/>
          <s v="Nov"/>
          <s v="Dec"/>
          <s v="&gt;9/6/2025"/>
        </groupItems>
      </fieldGroup>
    </cacheField>
  </cacheFields>
  <extLst>
    <ext xmlns:x14="http://schemas.microsoft.com/office/spreadsheetml/2009/9/main" uri="{725AE2AE-9491-48be-B2B4-4EB974FC3084}">
      <x14:pivotCacheDefinition pivotCacheId="711921970"/>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Khadija Mustafa" refreshedDate="45908.605250925924" createdVersion="8" refreshedVersion="8" minRefreshableVersion="3" recordCount="62" xr:uid="{0111F8A8-D13E-4336-87A7-13C524DE6E38}">
  <cacheSource type="worksheet">
    <worksheetSource name="Table9"/>
  </cacheSource>
  <cacheFields count="14">
    <cacheField name="Date" numFmtId="14">
      <sharedItems containsSemiMixedTypes="0" containsNonDate="0" containsDate="1" containsString="0" minDate="2025-08-19T00:00:00" maxDate="2025-09-06T00:00:00" count="18">
        <d v="2025-08-19T00:00:00"/>
        <d v="2025-08-20T00:00:00"/>
        <d v="2025-08-21T00:00:00"/>
        <d v="2025-08-22T00:00:00"/>
        <d v="2025-08-23T00:00:00"/>
        <d v="2025-08-24T00:00:00"/>
        <d v="2025-08-25T00:00:00"/>
        <d v="2025-08-26T00:00:00"/>
        <d v="2025-08-27T00:00:00"/>
        <d v="2025-08-28T00:00:00"/>
        <d v="2025-08-29T00:00:00"/>
        <d v="2025-08-30T00:00:00"/>
        <d v="2025-08-31T00:00:00"/>
        <d v="2025-09-01T00:00:00"/>
        <d v="2025-09-02T00:00:00"/>
        <d v="2025-09-03T00:00:00"/>
        <d v="2025-09-04T00:00:00"/>
        <d v="2025-09-05T00:00:00"/>
      </sharedItems>
    </cacheField>
    <cacheField name="Week" numFmtId="0">
      <sharedItems containsSemiMixedTypes="0" containsString="0" containsNumber="1" containsInteger="1" minValue="34" maxValue="36" count="3">
        <n v="34"/>
        <n v="35"/>
        <n v="36"/>
      </sharedItems>
    </cacheField>
    <cacheField name="Meal Type" numFmtId="0">
      <sharedItems/>
    </cacheField>
    <cacheField name="Time (24h)" numFmtId="165">
      <sharedItems containsSemiMixedTypes="0" containsNonDate="0" containsDate="1" containsString="0" minDate="1899-12-30T08:00:00" maxDate="1899-12-30T18:00:00"/>
    </cacheField>
    <cacheField name="Food Item" numFmtId="0">
      <sharedItems/>
    </cacheField>
    <cacheField name="Quantity(g/ml)" numFmtId="166">
      <sharedItems containsSemiMixedTypes="0" containsString="0" containsNumber="1" minValue="10" maxValue="500"/>
    </cacheField>
    <cacheField name="Protein (g)" numFmtId="166">
      <sharedItems containsSemiMixedTypes="0" containsString="0" containsNumber="1" minValue="9.0000000000000011E-2" maxValue="155"/>
    </cacheField>
    <cacheField name="Carbs (g)" numFmtId="166">
      <sharedItems containsSemiMixedTypes="0" containsString="0" containsNumber="1" minValue="0" maxValue="35.393648018648001"/>
    </cacheField>
    <cacheField name="Fats (g)" numFmtId="166">
      <sharedItems containsSemiMixedTypes="0" containsString="0" containsNumber="1" minValue="2.0000000000000004E-2" maxValue="20"/>
    </cacheField>
    <cacheField name="Fibre (g)" numFmtId="166">
      <sharedItems containsSemiMixedTypes="0" containsString="0" containsNumber="1" minValue="0" maxValue="12"/>
    </cacheField>
    <cacheField name="Calories (kcal)" numFmtId="1">
      <sharedItems containsSemiMixedTypes="0" containsString="0" containsNumber="1" minValue="4.1000000000000005" maxValue="825"/>
    </cacheField>
    <cacheField name="Sleep (hrs)" numFmtId="166">
      <sharedItems containsString="0" containsBlank="1" containsNumber="1" minValue="3.6428571428571401" maxValue="10"/>
    </cacheField>
    <cacheField name="Waters (ml)" numFmtId="0">
      <sharedItems containsString="0" containsBlank="1" containsNumber="1" containsInteger="1" minValue="800" maxValue="2900"/>
    </cacheField>
    <cacheField name="Note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d v="2025-08-19T00:00:00"/>
    <x v="0"/>
    <x v="0"/>
    <s v="Squat"/>
    <n v="2"/>
    <n v="12"/>
    <n v="30"/>
    <n v="72"/>
    <n v="226.79999999999998"/>
    <m/>
  </r>
  <r>
    <d v="2025-08-20T00:00:00"/>
    <x v="0"/>
    <x v="1"/>
    <s v="Walking (brisk)"/>
    <n v="1"/>
    <n v="0"/>
    <n v="45"/>
    <n v="72"/>
    <n v="243.80999999999997"/>
    <s v="morning run"/>
  </r>
  <r>
    <d v="2025-08-21T00:00:00"/>
    <x v="0"/>
    <x v="2"/>
    <s v="Stretching"/>
    <n v="1"/>
    <n v="2"/>
    <n v="40"/>
    <n v="72"/>
    <n v="115.92"/>
    <m/>
  </r>
  <r>
    <d v="2025-08-22T00:00:00"/>
    <x v="0"/>
    <x v="1"/>
    <s v="HIIT"/>
    <n v="1"/>
    <n v="0"/>
    <n v="20"/>
    <n v="69"/>
    <n v="241.5"/>
    <m/>
  </r>
  <r>
    <d v="2025-08-23T00:00:00"/>
    <x v="0"/>
    <x v="0"/>
    <s v="Bench Press"/>
    <n v="3"/>
    <n v="15"/>
    <n v="30"/>
    <n v="69"/>
    <n v="181.125"/>
    <m/>
  </r>
  <r>
    <d v="2025-08-24T00:00:00"/>
    <x v="0"/>
    <x v="3"/>
    <s v="Tai Chi"/>
    <n v="0"/>
    <n v="0"/>
    <n v="60"/>
    <n v="69"/>
    <n v="217.35"/>
    <s v="Sunday Break"/>
  </r>
  <r>
    <d v="2025-08-25T00:00:00"/>
    <x v="1"/>
    <x v="2"/>
    <s v="Rows"/>
    <n v="2"/>
    <n v="3.13333333333334"/>
    <n v="46"/>
    <n v="69.2"/>
    <n v="278.52999999999997"/>
    <s v="cool down"/>
  </r>
  <r>
    <d v="2025-08-26T00:00:00"/>
    <x v="1"/>
    <x v="1"/>
    <s v="Pull-Ups"/>
    <n v="1"/>
    <n v="2.6476190476190502"/>
    <n v="48.428571428571402"/>
    <n v="69.2"/>
    <n v="469.17599999999976"/>
    <m/>
  </r>
  <r>
    <d v="2025-08-27T00:00:00"/>
    <x v="1"/>
    <x v="0"/>
    <s v="Rows"/>
    <n v="2"/>
    <n v="2.16190476190476"/>
    <n v="50.857142857142797"/>
    <n v="68.5"/>
    <n v="304.82499999999965"/>
    <s v="body weight only"/>
  </r>
  <r>
    <d v="2025-08-28T00:00:00"/>
    <x v="1"/>
    <x v="1"/>
    <s v="Squat"/>
    <n v="2.3055555555555598"/>
    <n v="1.67619047619048"/>
    <n v="53.285714285714299"/>
    <n v="68.5"/>
    <n v="383.25750000000011"/>
    <m/>
  </r>
  <r>
    <d v="2025-08-29T00:00:00"/>
    <x v="1"/>
    <x v="2"/>
    <s v="Tricep Dips"/>
    <n v="2.3888888888888902"/>
    <n v="1.19047619047619"/>
    <n v="55.714285714285701"/>
    <n v="63.9"/>
    <n v="249.20999999999992"/>
    <m/>
  </r>
  <r>
    <d v="2025-08-30T00:00:00"/>
    <x v="1"/>
    <x v="1"/>
    <s v="Squat"/>
    <n v="2.4722222222222201"/>
    <n v="0.70476190476190803"/>
    <n v="58.142857142857103"/>
    <n v="63.9"/>
    <n v="390.10949999999968"/>
    <s v="outdoor cycling"/>
  </r>
  <r>
    <d v="2025-08-31T00:00:00"/>
    <x v="1"/>
    <x v="0"/>
    <s v="Bench Press"/>
    <n v="2.5555555555555598"/>
    <n v="0.21904761904761699"/>
    <n v="60.571428571428598"/>
    <n v="62.3"/>
    <n v="330.19000000000011"/>
    <m/>
  </r>
  <r>
    <d v="2025-09-01T00:00:00"/>
    <x v="2"/>
    <x v="2"/>
    <s v="Squat"/>
    <n v="2.6388888888888902"/>
    <n v="-0.266666666666662"/>
    <n v="63"/>
    <n v="62.3"/>
    <n v="412.11449999999991"/>
    <m/>
  </r>
  <r>
    <d v="2025-09-02T00:00:00"/>
    <x v="2"/>
    <x v="1"/>
    <s v="Deadlift"/>
    <n v="2.7222222222222299"/>
    <n v="1"/>
    <n v="65.428571428571402"/>
    <n v="61.4"/>
    <n v="421.81799999999976"/>
    <m/>
  </r>
  <r>
    <d v="2025-09-03T00:00:00"/>
    <x v="2"/>
    <x v="0"/>
    <s v="Push-Ups"/>
    <n v="2"/>
    <n v="2"/>
    <n v="20"/>
    <n v="61.4"/>
    <n v="85.960000000000008"/>
    <m/>
  </r>
  <r>
    <d v="2025-09-04T00:00:00"/>
    <x v="2"/>
    <x v="2"/>
    <s v="Yoga (Hatha)"/>
    <n v="2.9722222222222299"/>
    <n v="3"/>
    <n v="5"/>
    <n v="58"/>
    <n v="12.6875"/>
    <m/>
  </r>
  <r>
    <d v="2025-09-05T00:00:00"/>
    <x v="2"/>
    <x v="1"/>
    <s v="Calf Raises"/>
    <n v="3.0555555555555598"/>
    <n v="3"/>
    <n v="60"/>
    <n v="58"/>
    <n v="213.15"/>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
  <r>
    <x v="0"/>
    <n v="72"/>
    <n v="96.52"/>
    <n v="71.12"/>
    <n v="101.6"/>
    <n v="30.48"/>
    <n v="50.8"/>
    <n v="31.16343490304709"/>
  </r>
  <r>
    <x v="1"/>
    <n v="72"/>
    <n v="96.52"/>
    <n v="71.12"/>
    <n v="101.6"/>
    <n v="30.48"/>
    <n v="50.8"/>
    <n v="31.16343490304709"/>
  </r>
  <r>
    <x v="2"/>
    <n v="72"/>
    <n v="96.52"/>
    <n v="71.12"/>
    <n v="101.6"/>
    <n v="30.48"/>
    <n v="50.8"/>
    <n v="31.16343490304709"/>
  </r>
  <r>
    <x v="3"/>
    <n v="69"/>
    <n v="96.52"/>
    <n v="71.12"/>
    <n v="101.6"/>
    <n v="30.48"/>
    <n v="50.8"/>
    <n v="29.864958448753463"/>
  </r>
  <r>
    <x v="4"/>
    <n v="69"/>
    <n v="96.52"/>
    <n v="68.58"/>
    <n v="101.6"/>
    <n v="30.48"/>
    <n v="48.26"/>
    <n v="29.864958448753463"/>
  </r>
  <r>
    <x v="5"/>
    <n v="69"/>
    <n v="96.52"/>
    <n v="68.58"/>
    <n v="101.6"/>
    <n v="30.48"/>
    <n v="48.26"/>
    <n v="29.864958448753463"/>
  </r>
  <r>
    <x v="6"/>
    <n v="69.2"/>
    <n v="91.44"/>
    <n v="68.58"/>
    <n v="93.98"/>
    <n v="30.48"/>
    <n v="48.26"/>
    <n v="29.951523545706372"/>
  </r>
  <r>
    <x v="7"/>
    <n v="69.2"/>
    <n v="91.44"/>
    <n v="68.58"/>
    <n v="93.98"/>
    <n v="30.48"/>
    <n v="48.26"/>
    <n v="29.951523545706372"/>
  </r>
  <r>
    <x v="8"/>
    <n v="68.5"/>
    <n v="91.44"/>
    <n v="68.58"/>
    <n v="93.98"/>
    <n v="24.94"/>
    <n v="48.26"/>
    <n v="29.648545706371191"/>
  </r>
  <r>
    <x v="9"/>
    <n v="68.5"/>
    <n v="91.44"/>
    <n v="66.040000000000006"/>
    <n v="93.98"/>
    <n v="24.94"/>
    <n v="48.26"/>
    <n v="29.648545706371191"/>
  </r>
  <r>
    <x v="10"/>
    <n v="63.9"/>
    <n v="91.44"/>
    <n v="66.040000000000006"/>
    <n v="93.98"/>
    <n v="24.94"/>
    <n v="45.72"/>
    <n v="27.657548476454291"/>
  </r>
  <r>
    <x v="11"/>
    <n v="63.9"/>
    <n v="91.44"/>
    <n v="66.040000000000006"/>
    <n v="88.9"/>
    <n v="24.94"/>
    <n v="45.72"/>
    <n v="27.657548476454291"/>
  </r>
  <r>
    <x v="12"/>
    <n v="62.3"/>
    <n v="91.44"/>
    <n v="66.040000000000006"/>
    <n v="88.9"/>
    <n v="24.94"/>
    <n v="45.72"/>
    <n v="26.965027700831023"/>
  </r>
  <r>
    <x v="13"/>
    <n v="62.3"/>
    <n v="91.44"/>
    <n v="66.040000000000006"/>
    <n v="88.9"/>
    <n v="24.94"/>
    <n v="45.72"/>
    <n v="26.965027700831023"/>
  </r>
  <r>
    <x v="14"/>
    <n v="61.4"/>
    <n v="86.36"/>
    <n v="66.040000000000006"/>
    <n v="88.9"/>
    <n v="24.94"/>
    <n v="45.72"/>
    <n v="26.575484764542935"/>
  </r>
  <r>
    <x v="15"/>
    <n v="61.4"/>
    <n v="86.36"/>
    <n v="63.5"/>
    <n v="88.9"/>
    <n v="24.94"/>
    <n v="45.72"/>
    <n v="26.575484764542935"/>
  </r>
  <r>
    <x v="16"/>
    <n v="58"/>
    <n v="86.36"/>
    <n v="63.5"/>
    <n v="88.9"/>
    <n v="25.4"/>
    <n v="43.18"/>
    <n v="25.103878116343491"/>
  </r>
  <r>
    <x v="17"/>
    <n v="58"/>
    <n v="86.36"/>
    <n v="63.5"/>
    <n v="86.36"/>
    <n v="25.4"/>
    <n v="43.18"/>
    <n v="25.103878116343491"/>
  </r>
  <r>
    <x v="18"/>
    <m/>
    <m/>
    <m/>
    <m/>
    <m/>
    <m/>
    <m/>
  </r>
  <r>
    <x v="18"/>
    <m/>
    <m/>
    <m/>
    <m/>
    <m/>
    <m/>
    <m/>
  </r>
  <r>
    <x v="18"/>
    <m/>
    <m/>
    <m/>
    <m/>
    <m/>
    <m/>
    <m/>
  </r>
  <r>
    <x v="18"/>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0">
  <r>
    <x v="0"/>
    <x v="0"/>
    <n v="232.5"/>
    <n v="226.79999999999998"/>
  </r>
  <r>
    <x v="0"/>
    <x v="0"/>
    <n v="49.400000000000006"/>
    <n v="226.79999999999998"/>
  </r>
  <r>
    <x v="0"/>
    <x v="0"/>
    <n v="247.5"/>
    <n v="226.79999999999998"/>
  </r>
  <r>
    <x v="0"/>
    <x v="0"/>
    <n v="247.5"/>
    <n v="226.79999999999998"/>
  </r>
  <r>
    <x v="0"/>
    <x v="0"/>
    <n v="500"/>
    <n v="226.79999999999998"/>
  </r>
  <r>
    <x v="1"/>
    <x v="0"/>
    <n v="80"/>
    <n v="243.80999999999997"/>
  </r>
  <r>
    <x v="1"/>
    <x v="0"/>
    <n v="41.6"/>
    <n v="243.80999999999997"/>
  </r>
  <r>
    <x v="1"/>
    <x v="0"/>
    <n v="55.5"/>
    <n v="243.80999999999997"/>
  </r>
  <r>
    <x v="1"/>
    <x v="0"/>
    <n v="156"/>
    <n v="243.80999999999997"/>
  </r>
  <r>
    <x v="2"/>
    <x v="0"/>
    <n v="120"/>
    <n v="115.92"/>
  </r>
  <r>
    <x v="2"/>
    <x v="0"/>
    <n v="206.25"/>
    <n v="115.92"/>
  </r>
  <r>
    <x v="2"/>
    <x v="0"/>
    <n v="287.5"/>
    <n v="115.92"/>
  </r>
  <r>
    <x v="3"/>
    <x v="0"/>
    <n v="20"/>
    <n v="241.5"/>
  </r>
  <r>
    <x v="3"/>
    <x v="0"/>
    <n v="131.75"/>
    <n v="241.5"/>
  </r>
  <r>
    <x v="3"/>
    <x v="0"/>
    <n v="76"/>
    <n v="241.5"/>
  </r>
  <r>
    <x v="3"/>
    <x v="0"/>
    <n v="95.348484848484858"/>
    <n v="241.5"/>
  </r>
  <r>
    <x v="3"/>
    <x v="0"/>
    <n v="85.708041958041932"/>
    <n v="241.5"/>
  </r>
  <r>
    <x v="4"/>
    <x v="0"/>
    <n v="49.95"/>
    <n v="181.125"/>
  </r>
  <r>
    <x v="4"/>
    <x v="0"/>
    <n v="178.4128787878787"/>
    <n v="181.125"/>
  </r>
  <r>
    <x v="4"/>
    <x v="0"/>
    <n v="53.799533799533769"/>
    <n v="181.125"/>
  </r>
  <r>
    <x v="4"/>
    <x v="0"/>
    <n v="102.74038461538467"/>
    <n v="181.125"/>
  </r>
  <r>
    <x v="5"/>
    <x v="1"/>
    <n v="4.1000000000000005"/>
    <n v="217.35"/>
  </r>
  <r>
    <x v="5"/>
    <x v="1"/>
    <n v="143.21095571095577"/>
    <n v="217.35"/>
  </r>
  <r>
    <x v="5"/>
    <x v="1"/>
    <n v="8.3682983682983689"/>
    <n v="217.35"/>
  </r>
  <r>
    <x v="5"/>
    <x v="1"/>
    <n v="37.855477855477837"/>
    <n v="217.35"/>
  </r>
  <r>
    <x v="5"/>
    <x v="1"/>
    <n v="49.110722610722569"/>
    <n v="217.35"/>
  </r>
  <r>
    <x v="6"/>
    <x v="1"/>
    <n v="250"/>
    <n v="278.52999999999997"/>
  </r>
  <r>
    <x v="6"/>
    <x v="1"/>
    <n v="41.46328671328687"/>
    <n v="278.52999999999997"/>
  </r>
  <r>
    <x v="6"/>
    <x v="1"/>
    <n v="67.333333333332561"/>
    <n v="278.52999999999997"/>
  </r>
  <r>
    <x v="6"/>
    <x v="1"/>
    <n v="21.911421911422"/>
    <n v="278.52999999999997"/>
  </r>
  <r>
    <x v="7"/>
    <x v="1"/>
    <n v="77.800000000000011"/>
    <n v="469.17599999999976"/>
  </r>
  <r>
    <x v="7"/>
    <x v="1"/>
    <n v="34.730477855477226"/>
    <n v="469.17599999999976"/>
  </r>
  <r>
    <x v="7"/>
    <x v="1"/>
    <n v="6.0984848484848753"/>
    <n v="469.17599999999976"/>
  </r>
  <r>
    <x v="7"/>
    <x v="1"/>
    <n v="20.40442890442818"/>
    <n v="469.17599999999976"/>
  </r>
  <r>
    <x v="8"/>
    <x v="1"/>
    <n v="40"/>
    <n v="304.82499999999965"/>
  </r>
  <r>
    <x v="8"/>
    <x v="1"/>
    <n v="26.786635586635363"/>
    <n v="304.82499999999965"/>
  </r>
  <r>
    <x v="9"/>
    <x v="1"/>
    <n v="139.74120102119977"/>
    <n v="383.25750000000011"/>
  </r>
  <r>
    <x v="9"/>
    <x v="1"/>
    <n v="375"/>
    <n v="383.25750000000011"/>
  </r>
  <r>
    <x v="10"/>
    <x v="1"/>
    <n v="80"/>
    <n v="249.20999999999992"/>
  </r>
  <r>
    <x v="10"/>
    <x v="1"/>
    <n v="55.5"/>
    <n v="249.20999999999992"/>
  </r>
  <r>
    <x v="10"/>
    <x v="1"/>
    <n v="160"/>
    <n v="249.20999999999992"/>
  </r>
  <r>
    <x v="11"/>
    <x v="1"/>
    <n v="58.349999999999994"/>
    <n v="390.10949999999968"/>
  </r>
  <r>
    <x v="11"/>
    <x v="1"/>
    <n v="312"/>
    <n v="390.10949999999968"/>
  </r>
  <r>
    <x v="11"/>
    <x v="1"/>
    <n v="75.600000000000009"/>
    <n v="390.10949999999968"/>
  </r>
  <r>
    <x v="12"/>
    <x v="2"/>
    <n v="232.5"/>
    <n v="330.19000000000011"/>
  </r>
  <r>
    <x v="12"/>
    <x v="2"/>
    <n v="174"/>
    <n v="330.19000000000011"/>
  </r>
  <r>
    <x v="12"/>
    <x v="2"/>
    <n v="825"/>
    <n v="330.19000000000011"/>
  </r>
  <r>
    <x v="13"/>
    <x v="2"/>
    <n v="120"/>
    <n v="412.11449999999991"/>
  </r>
  <r>
    <x v="13"/>
    <x v="2"/>
    <n v="166.5"/>
    <n v="412.11449999999991"/>
  </r>
  <r>
    <x v="13"/>
    <x v="2"/>
    <n v="825"/>
    <n v="412.11449999999991"/>
  </r>
  <r>
    <x v="14"/>
    <x v="2"/>
    <n v="120"/>
    <n v="421.81799999999976"/>
  </r>
  <r>
    <x v="14"/>
    <x v="2"/>
    <n v="166.5"/>
    <n v="421.81799999999976"/>
  </r>
  <r>
    <x v="14"/>
    <x v="2"/>
    <n v="825"/>
    <n v="421.81799999999976"/>
  </r>
  <r>
    <x v="15"/>
    <x v="2"/>
    <n v="232.5"/>
    <n v="85.960000000000008"/>
  </r>
  <r>
    <x v="15"/>
    <x v="2"/>
    <n v="174"/>
    <n v="85.960000000000008"/>
  </r>
  <r>
    <x v="15"/>
    <x v="2"/>
    <n v="825"/>
    <n v="85.960000000000008"/>
  </r>
  <r>
    <x v="16"/>
    <x v="2"/>
    <n v="232.5"/>
    <n v="12.6875"/>
  </r>
  <r>
    <x v="16"/>
    <x v="2"/>
    <n v="174"/>
    <n v="12.6875"/>
  </r>
  <r>
    <x v="16"/>
    <x v="2"/>
    <n v="825"/>
    <n v="12.6875"/>
  </r>
  <r>
    <x v="17"/>
    <x v="2"/>
    <n v="232.5"/>
    <n v="213.15"/>
  </r>
  <r>
    <x v="17"/>
    <x v="2"/>
    <n v="174"/>
    <n v="213.15"/>
  </r>
  <r>
    <x v="17"/>
    <x v="2"/>
    <n v="825"/>
    <n v="213.15"/>
  </r>
  <r>
    <x v="18"/>
    <x v="3"/>
    <m/>
    <m/>
  </r>
  <r>
    <x v="18"/>
    <x v="3"/>
    <m/>
    <m/>
  </r>
  <r>
    <x v="18"/>
    <x v="3"/>
    <m/>
    <m/>
  </r>
  <r>
    <x v="18"/>
    <x v="3"/>
    <m/>
    <m/>
  </r>
  <r>
    <x v="18"/>
    <x v="3"/>
    <m/>
    <m/>
  </r>
  <r>
    <x v="18"/>
    <x v="3"/>
    <m/>
    <m/>
  </r>
  <r>
    <x v="18"/>
    <x v="3"/>
    <m/>
    <m/>
  </r>
  <r>
    <x v="18"/>
    <x v="3"/>
    <m/>
    <m/>
  </r>
  <r>
    <x v="18"/>
    <x v="3"/>
    <m/>
    <m/>
  </r>
  <r>
    <x v="18"/>
    <x v="3"/>
    <m/>
    <m/>
  </r>
  <r>
    <x v="18"/>
    <x v="3"/>
    <m/>
    <m/>
  </r>
  <r>
    <x v="18"/>
    <x v="3"/>
    <m/>
    <m/>
  </r>
  <r>
    <x v="18"/>
    <x v="3"/>
    <m/>
    <m/>
  </r>
  <r>
    <x v="18"/>
    <x v="3"/>
    <m/>
    <m/>
  </r>
  <r>
    <x v="18"/>
    <x v="3"/>
    <m/>
    <m/>
  </r>
  <r>
    <x v="18"/>
    <x v="3"/>
    <m/>
    <m/>
  </r>
  <r>
    <x v="18"/>
    <x v="3"/>
    <m/>
    <m/>
  </r>
  <r>
    <x v="18"/>
    <x v="3"/>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2">
  <r>
    <x v="0"/>
    <x v="0"/>
    <s v="Breakfast"/>
    <d v="1899-12-30T08:00:00"/>
    <s v="Eggs (whole, boiled)"/>
    <n v="150"/>
    <n v="19.5"/>
    <n v="1.5"/>
    <n v="16.5"/>
    <n v="0"/>
    <n v="232.5"/>
    <n v="8"/>
    <n v="1200"/>
    <m/>
  </r>
  <r>
    <x v="0"/>
    <x v="0"/>
    <s v="Breakfast"/>
    <d v="1899-12-30T08:00:00"/>
    <s v="Whole Wheat Bread"/>
    <n v="20"/>
    <n v="2.6"/>
    <n v="9.8000000000000007"/>
    <n v="0.8"/>
    <n v="1.4000000000000001"/>
    <n v="49.400000000000006"/>
    <n v="7.5"/>
    <n v="1350"/>
    <m/>
  </r>
  <r>
    <x v="0"/>
    <x v="0"/>
    <s v="Lunch"/>
    <d v="1899-12-30T12:00:00"/>
    <s v="Chicken Breast (grilled)"/>
    <n v="150"/>
    <n v="46.5"/>
    <n v="0"/>
    <n v="4.5"/>
    <n v="0"/>
    <n v="247.5"/>
    <n v="8"/>
    <n v="2000"/>
    <m/>
  </r>
  <r>
    <x v="0"/>
    <x v="0"/>
    <s v="Lunch"/>
    <d v="1899-12-30T12:00:00"/>
    <s v="Chicken Breast (grilled)"/>
    <n v="150"/>
    <n v="46.5"/>
    <n v="0"/>
    <n v="4.5"/>
    <n v="0"/>
    <n v="247.5"/>
    <n v="8"/>
    <n v="2000"/>
    <m/>
  </r>
  <r>
    <x v="0"/>
    <x v="0"/>
    <s v="Dinner"/>
    <d v="1899-12-30T18:00:00"/>
    <s v="Beef (lean, cooked)"/>
    <n v="200"/>
    <n v="52"/>
    <n v="0"/>
    <n v="20"/>
    <n v="0"/>
    <n v="500"/>
    <n v="6"/>
    <n v="1800"/>
    <m/>
  </r>
  <r>
    <x v="1"/>
    <x v="0"/>
    <s v="Breakfast"/>
    <d v="1899-12-30T08:00:00"/>
    <s v="Yogurt (low-fat)"/>
    <n v="100"/>
    <n v="10"/>
    <n v="5"/>
    <n v="3"/>
    <n v="0"/>
    <n v="80"/>
    <n v="8"/>
    <n v="2100"/>
    <m/>
  </r>
  <r>
    <x v="1"/>
    <x v="0"/>
    <s v="Snacks"/>
    <d v="1899-12-30T10:30:00"/>
    <s v="Apple"/>
    <n v="80"/>
    <n v="0.24"/>
    <n v="11.200000000000001"/>
    <n v="0.16000000000000003"/>
    <n v="1.6"/>
    <n v="41.6"/>
    <n v="6"/>
    <n v="1000"/>
    <m/>
  </r>
  <r>
    <x v="1"/>
    <x v="0"/>
    <s v="Lunch"/>
    <d v="1899-12-30T12:00:00"/>
    <s v="Brown Rice (cooked)"/>
    <n v="50"/>
    <n v="1.3"/>
    <n v="11.5"/>
    <n v="0.45"/>
    <n v="1"/>
    <n v="55.5"/>
    <n v="5"/>
    <n v="800"/>
    <m/>
  </r>
  <r>
    <x v="1"/>
    <x v="0"/>
    <s v="Dinner"/>
    <d v="1899-12-30T18:00:00"/>
    <s v="Fish (Salmon, grilled)"/>
    <n v="75"/>
    <n v="18.75"/>
    <n v="0"/>
    <n v="9.75"/>
    <n v="0"/>
    <n v="156"/>
    <n v="7"/>
    <n v="1500"/>
    <m/>
  </r>
  <r>
    <x v="2"/>
    <x v="0"/>
    <s v="Breakfast"/>
    <d v="1899-12-30T08:00:00"/>
    <s v="Yogurt (low-fat)"/>
    <n v="150"/>
    <n v="15"/>
    <n v="7.5"/>
    <n v="4.5"/>
    <n v="0"/>
    <n v="120"/>
    <n v="5.6428571428571397"/>
    <n v="1200"/>
    <m/>
  </r>
  <r>
    <x v="2"/>
    <x v="0"/>
    <s v="Lunch"/>
    <d v="1899-12-30T12:00:00"/>
    <s v="Chicken Breast (grilled)"/>
    <n v="125"/>
    <n v="38.75"/>
    <n v="0"/>
    <n v="3.75"/>
    <n v="0"/>
    <n v="206.25"/>
    <n v="5.3571428571428497"/>
    <n v="2000"/>
    <m/>
  </r>
  <r>
    <x v="3"/>
    <x v="0"/>
    <s v="Lunch"/>
    <d v="1899-12-30T12:00:00"/>
    <s v="Cucumber (raw)"/>
    <n v="125"/>
    <n v="0.75"/>
    <n v="5"/>
    <n v="0.125"/>
    <n v="0.625"/>
    <n v="20"/>
    <n v="7"/>
    <m/>
    <m/>
  </r>
  <r>
    <x v="2"/>
    <x v="0"/>
    <s v="Dinner"/>
    <d v="1899-12-30T18:00:00"/>
    <s v="Beef (lean, cooked)"/>
    <n v="115"/>
    <n v="29.9"/>
    <n v="0"/>
    <n v="11.5"/>
    <n v="0"/>
    <n v="287.5"/>
    <n v="5.0714285714285703"/>
    <n v="1800"/>
    <m/>
  </r>
  <r>
    <x v="3"/>
    <x v="0"/>
    <s v="Breakfast"/>
    <d v="1899-12-30T08:00:00"/>
    <s v="Eggs (whole, boiled)"/>
    <n v="85"/>
    <n v="11.049999999999999"/>
    <n v="0.85"/>
    <n v="9.35"/>
    <n v="0"/>
    <n v="131.75"/>
    <n v="4.7857142857142803"/>
    <n v="2100"/>
    <m/>
  </r>
  <r>
    <x v="3"/>
    <x v="0"/>
    <s v="Snacks"/>
    <d v="1899-12-30T10:30:00"/>
    <s v="Yogurt (low-fat)"/>
    <n v="95"/>
    <n v="9.5"/>
    <n v="4.75"/>
    <n v="2.8499999999999996"/>
    <n v="0"/>
    <n v="76"/>
    <n v="8"/>
    <n v="1000"/>
    <m/>
  </r>
  <r>
    <x v="4"/>
    <x v="0"/>
    <s v="Lunch"/>
    <d v="1899-12-30T12:00:00"/>
    <s v="Brown Rice (cooked)"/>
    <n v="45"/>
    <n v="1.1700000000000002"/>
    <n v="10.35"/>
    <n v="0.40500000000000003"/>
    <n v="0.9"/>
    <n v="49.95"/>
    <n v="6.5"/>
    <m/>
    <m/>
  </r>
  <r>
    <x v="3"/>
    <x v="0"/>
    <s v="Lunch"/>
    <d v="1899-12-30T12:00:00"/>
    <s v="Lentils (cooked)"/>
    <n v="82.196969696969703"/>
    <n v="7.3977272727272734"/>
    <n v="16.439393939393941"/>
    <n v="0.32878787878787885"/>
    <n v="6.5757575757575761"/>
    <n v="95.348484848484858"/>
    <n v="5.5"/>
    <n v="950"/>
    <m/>
  </r>
  <r>
    <x v="3"/>
    <x v="0"/>
    <s v="Dinner"/>
    <d v="1899-12-30T18:00:00"/>
    <s v="Brown Rice (cooked)"/>
    <n v="77.214452214452194"/>
    <n v="2.0075757575757569"/>
    <n v="17.759324009324004"/>
    <n v="0.69493006993006967"/>
    <n v="1.5442890442890438"/>
    <n v="85.708041958041932"/>
    <n v="8"/>
    <n v="1500"/>
    <m/>
  </r>
  <r>
    <x v="4"/>
    <x v="0"/>
    <s v="Breakfast"/>
    <d v="1899-12-30T08:00:00"/>
    <s v="Whole Wheat Bread"/>
    <n v="72.2319347319347"/>
    <n v="9.3901515151515103"/>
    <n v="35.393648018648001"/>
    <n v="2.889277389277388"/>
    <n v="5.0562354312354287"/>
    <n v="178.4128787878787"/>
    <n v="3.6428571428571401"/>
    <n v="1200"/>
    <m/>
  </r>
  <r>
    <x v="4"/>
    <x v="0"/>
    <s v="Lunch"/>
    <d v="1899-12-30T12:00:00"/>
    <s v="Yogurt (low-fat)"/>
    <n v="67.249417249417206"/>
    <n v="6.7249417249417212"/>
    <n v="3.3624708624708606"/>
    <n v="2.0174825174825162"/>
    <n v="0"/>
    <n v="53.799533799533769"/>
    <n v="8.5"/>
    <n v="2000"/>
    <m/>
  </r>
  <r>
    <x v="4"/>
    <x v="0"/>
    <s v="Dinner"/>
    <d v="1899-12-30T18:00:00"/>
    <s v="Chicken Breast (grilled)"/>
    <n v="62.266899766899797"/>
    <n v="19.302738927738936"/>
    <n v="0"/>
    <n v="1.8680069930069938"/>
    <n v="0"/>
    <n v="102.74038461538467"/>
    <n v="7"/>
    <n v="1800"/>
    <m/>
  </r>
  <r>
    <x v="5"/>
    <x v="1"/>
    <s v="Dinner"/>
    <d v="1899-12-30T18:00:00"/>
    <s v="Carrots (raw)"/>
    <n v="10"/>
    <n v="9.0000000000000011E-2"/>
    <n v="1"/>
    <n v="2.0000000000000004E-2"/>
    <n v="0.30000000000000004"/>
    <n v="4.1000000000000005"/>
    <n v="5"/>
    <m/>
    <m/>
  </r>
  <r>
    <x v="5"/>
    <x v="1"/>
    <s v="Breakfast"/>
    <d v="1899-12-30T08:00:00"/>
    <s v="Beef (lean, cooked)"/>
    <n v="57.284382284382303"/>
    <n v="14.8939393939394"/>
    <n v="0"/>
    <n v="5.7284382284382307"/>
    <n v="0"/>
    <n v="143.21095571095577"/>
    <n v="9"/>
    <n v="2100"/>
    <m/>
  </r>
  <r>
    <x v="5"/>
    <x v="1"/>
    <s v="Snacks"/>
    <d v="1899-12-30T10:30:00"/>
    <s v="Cucumber (raw)"/>
    <n v="52.301864801864802"/>
    <n v="0.3138111888111888"/>
    <n v="2.0920745920745922"/>
    <n v="5.2301864801864807E-2"/>
    <n v="0.26150932400932403"/>
    <n v="8.3682983682983689"/>
    <n v="5"/>
    <n v="1000"/>
    <m/>
  </r>
  <r>
    <x v="5"/>
    <x v="1"/>
    <s v="Lunch"/>
    <d v="1899-12-30T12:00:00"/>
    <s v="Yogurt (low-fat)"/>
    <n v="47.319347319347301"/>
    <n v="4.7319347319347296"/>
    <n v="2.3659673659673648"/>
    <n v="1.4195804195804189"/>
    <n v="0"/>
    <n v="37.855477855477837"/>
    <n v="8"/>
    <n v="2000"/>
    <m/>
  </r>
  <r>
    <x v="5"/>
    <x v="1"/>
    <s v="Dinner"/>
    <d v="1899-12-30T18:00:00"/>
    <s v="Lentils (cooked)"/>
    <n v="42.3368298368298"/>
    <n v="3.8103146853146819"/>
    <n v="8.4673659673659589"/>
    <n v="0.1693473193473192"/>
    <n v="3.3869463869463838"/>
    <n v="49.110722610722569"/>
    <n v="8"/>
    <n v="1500"/>
    <m/>
  </r>
  <r>
    <x v="6"/>
    <x v="1"/>
    <s v="Dinner"/>
    <d v="1899-12-30T18:00:00"/>
    <s v="Beef (lean, cooked)"/>
    <n v="100"/>
    <n v="26"/>
    <n v="0"/>
    <n v="10"/>
    <n v="0"/>
    <n v="250"/>
    <n v="7"/>
    <m/>
    <m/>
  </r>
  <r>
    <x v="6"/>
    <x v="1"/>
    <s v="Breakfast"/>
    <d v="1899-12-30T08:00:00"/>
    <s v="Brown Rice (cooked)"/>
    <n v="37.354312354312498"/>
    <n v="0.97121212121212497"/>
    <n v="8.5914918414918748"/>
    <n v="0.3361888111888125"/>
    <n v="0.74708624708624993"/>
    <n v="41.46328671328687"/>
    <n v="6"/>
    <n v="1200"/>
    <m/>
  </r>
  <r>
    <x v="6"/>
    <x v="1"/>
    <s v="Lunch"/>
    <d v="1899-12-30T12:00:00"/>
    <s v="Fish (Salmon, grilled)"/>
    <n v="32.371794871794499"/>
    <n v="8.0929487179486248"/>
    <n v="0"/>
    <n v="4.2083333333332851"/>
    <n v="0"/>
    <n v="67.333333333332561"/>
    <n v="10"/>
    <n v="1000"/>
    <m/>
  </r>
  <r>
    <x v="6"/>
    <x v="1"/>
    <s v="Dinner"/>
    <d v="1899-12-30T18:00:00"/>
    <s v="Yogurt (low-fat)"/>
    <n v="27.389277389277499"/>
    <n v="2.73892773892775"/>
    <n v="1.369463869463875"/>
    <n v="0.821678321678325"/>
    <n v="0"/>
    <n v="21.911421911422"/>
    <n v="7"/>
    <n v="2900"/>
    <m/>
  </r>
  <r>
    <x v="7"/>
    <x v="1"/>
    <s v="Breakfast"/>
    <d v="1899-12-30T08:00:00"/>
    <s v="Oats (dry)"/>
    <n v="20"/>
    <n v="3.4000000000000004"/>
    <n v="13.200000000000001"/>
    <n v="1.4000000000000001"/>
    <n v="2"/>
    <n v="77.800000000000011"/>
    <n v="8"/>
    <m/>
    <m/>
  </r>
  <r>
    <x v="7"/>
    <x v="1"/>
    <s v="Lunch"/>
    <d v="1899-12-30T08:00:00"/>
    <s v="Eggs (whole, boiled)"/>
    <n v="22.4067599067595"/>
    <n v="2.9128787878787348"/>
    <n v="0.22406759906759499"/>
    <n v="2.464743589743545"/>
    <n v="0"/>
    <n v="34.730477855477226"/>
    <n v="8.5"/>
    <n v="2100"/>
    <m/>
  </r>
  <r>
    <x v="7"/>
    <x v="1"/>
    <s v="Snacks"/>
    <d v="1899-12-30T10:30:00"/>
    <s v="Broccoli (steamed)"/>
    <n v="17.4242424242425"/>
    <n v="0.48787878787878997"/>
    <n v="1.2196969696969751"/>
    <n v="6.9696969696970007E-2"/>
    <n v="0.453030303030305"/>
    <n v="6.0984848484848753"/>
    <n v="8"/>
    <n v="1000"/>
    <m/>
  </r>
  <r>
    <x v="7"/>
    <x v="1"/>
    <s v="Dinner"/>
    <d v="1899-12-30T12:00:00"/>
    <s v="Chickpeas (cooked)"/>
    <n v="12.4417249417245"/>
    <n v="1.119755244755205"/>
    <n v="3.3592657342656147"/>
    <n v="0.37325174825173502"/>
    <n v="0.99533799533795997"/>
    <n v="20.40442890442818"/>
    <n v="9"/>
    <n v="800"/>
    <m/>
  </r>
  <r>
    <x v="8"/>
    <x v="1"/>
    <s v="Breakfast"/>
    <d v="1899-12-30T08:00:00"/>
    <s v="Yogurt (low-fat)"/>
    <n v="50"/>
    <n v="5"/>
    <n v="2.5"/>
    <n v="1.5"/>
    <n v="0"/>
    <n v="40"/>
    <n v="5"/>
    <n v="1500"/>
    <m/>
  </r>
  <r>
    <x v="8"/>
    <x v="1"/>
    <s v="Dinner"/>
    <d v="1899-12-30T18:00:00"/>
    <s v="Yogurt (low-fat)"/>
    <n v="33.483294483294202"/>
    <n v="3.3483294483294204"/>
    <n v="1.6741647241647102"/>
    <n v="1.0044988344988259"/>
    <n v="0"/>
    <n v="26.786635586635363"/>
    <n v="6.8333333333333304"/>
    <n v="1500"/>
    <m/>
  </r>
  <r>
    <x v="9"/>
    <x v="1"/>
    <s v="Breakfast"/>
    <d v="1899-12-30T08:00:00"/>
    <s v="Oats (dry)"/>
    <n v="35.923187923187598"/>
    <n v="6.106941946941892"/>
    <n v="23.709304029303816"/>
    <n v="2.5146231546231319"/>
    <n v="3.5923187923187601"/>
    <n v="139.74120102119977"/>
    <n v="6.6190476190476204"/>
    <n v="2000"/>
    <m/>
  </r>
  <r>
    <x v="9"/>
    <x v="1"/>
    <s v="Lunch"/>
    <d v="1899-12-30T12:00:00"/>
    <s v="Beef (lean, cooked)"/>
    <n v="150"/>
    <n v="39"/>
    <n v="0"/>
    <n v="15"/>
    <n v="0"/>
    <n v="375"/>
    <n v="7"/>
    <m/>
    <m/>
  </r>
  <r>
    <x v="10"/>
    <x v="1"/>
    <s v="Breakfast"/>
    <d v="1899-12-30T09:00:00"/>
    <s v="Yogurt (low-fat)"/>
    <n v="100"/>
    <n v="10"/>
    <n v="5"/>
    <n v="3"/>
    <n v="0"/>
    <n v="80"/>
    <n v="8"/>
    <m/>
    <m/>
  </r>
  <r>
    <x v="10"/>
    <x v="1"/>
    <s v="Snack"/>
    <d v="1899-12-30T12:00:00"/>
    <s v="Brown Rice (cooked)"/>
    <n v="50"/>
    <n v="1.3"/>
    <n v="11.5"/>
    <n v="0.45"/>
    <n v="1"/>
    <n v="55.5"/>
    <n v="5"/>
    <m/>
    <m/>
  </r>
  <r>
    <x v="10"/>
    <x v="1"/>
    <s v="Dinner"/>
    <d v="1899-12-30T18:00:00"/>
    <s v="Yogurt (low-fat)"/>
    <n v="200"/>
    <n v="20"/>
    <n v="10"/>
    <n v="6"/>
    <n v="0"/>
    <n v="160"/>
    <n v="4"/>
    <m/>
    <m/>
  </r>
  <r>
    <x v="11"/>
    <x v="1"/>
    <s v="Breakfast"/>
    <d v="1899-12-30T09:00:00"/>
    <s v="Oats (dry)"/>
    <n v="15"/>
    <n v="2.5499999999999998"/>
    <n v="9.9"/>
    <n v="1.05"/>
    <n v="1.5"/>
    <n v="58.349999999999994"/>
    <n v="6.6190476190476204"/>
    <n v="2000"/>
    <m/>
  </r>
  <r>
    <x v="11"/>
    <x v="1"/>
    <s v="Lunch"/>
    <d v="1899-12-30T12:00:00"/>
    <s v="Fish (Salmon, grilled)"/>
    <n v="150"/>
    <n v="37.5"/>
    <n v="0"/>
    <n v="19.5"/>
    <n v="0"/>
    <n v="312"/>
    <n v="7"/>
    <m/>
    <m/>
  </r>
  <r>
    <x v="11"/>
    <x v="1"/>
    <s v="Dinner"/>
    <d v="1899-12-30T18:00:00"/>
    <s v="Milk (low-fat, 1%)"/>
    <n v="180"/>
    <n v="5.4"/>
    <n v="9"/>
    <n v="1.8"/>
    <n v="0"/>
    <n v="75.600000000000009"/>
    <n v="5.5"/>
    <m/>
    <m/>
  </r>
  <r>
    <x v="12"/>
    <x v="2"/>
    <s v="Breakfast"/>
    <d v="1899-12-30T08:00:00"/>
    <s v="Eggs (whole, boiled)"/>
    <n v="150"/>
    <n v="19.5"/>
    <n v="1.5"/>
    <n v="16.5"/>
    <n v="0"/>
    <n v="232.5"/>
    <n v="8"/>
    <m/>
    <m/>
  </r>
  <r>
    <x v="12"/>
    <x v="2"/>
    <s v="Lunch"/>
    <d v="1899-12-30T12:00:00"/>
    <s v="Lentils (cooked)"/>
    <n v="150"/>
    <n v="13.5"/>
    <n v="30"/>
    <n v="0.60000000000000009"/>
    <n v="12"/>
    <n v="174"/>
    <n v="4.5"/>
    <m/>
    <m/>
  </r>
  <r>
    <x v="12"/>
    <x v="2"/>
    <s v="Dinner"/>
    <d v="1899-12-30T18:00:00"/>
    <s v="Chicken Breast (grilled)"/>
    <n v="500"/>
    <n v="155"/>
    <n v="0"/>
    <n v="15"/>
    <n v="0"/>
    <n v="825"/>
    <n v="7.5"/>
    <n v="2500"/>
    <m/>
  </r>
  <r>
    <x v="13"/>
    <x v="2"/>
    <s v="Breakfast"/>
    <d v="1899-12-30T08:00:00"/>
    <s v="Yogurt (low-fat)"/>
    <n v="150"/>
    <n v="15"/>
    <n v="7.5"/>
    <n v="4.5"/>
    <n v="0"/>
    <n v="120"/>
    <n v="8"/>
    <m/>
    <m/>
  </r>
  <r>
    <x v="13"/>
    <x v="2"/>
    <s v="Lunch"/>
    <d v="1899-12-30T12:00:00"/>
    <s v="Brown Rice (cooked)"/>
    <n v="150"/>
    <n v="3.9000000000000004"/>
    <n v="34.5"/>
    <n v="1.35"/>
    <n v="3"/>
    <n v="166.5"/>
    <n v="4.5"/>
    <m/>
    <m/>
  </r>
  <r>
    <x v="13"/>
    <x v="2"/>
    <s v="Dinner"/>
    <d v="1899-12-30T18:00:00"/>
    <s v="Chicken Breast (grilled)"/>
    <n v="500"/>
    <n v="155"/>
    <n v="0"/>
    <n v="15"/>
    <n v="0"/>
    <n v="825"/>
    <n v="7.5"/>
    <n v="2500"/>
    <m/>
  </r>
  <r>
    <x v="14"/>
    <x v="2"/>
    <s v="Breakfast"/>
    <d v="1899-12-30T08:00:00"/>
    <s v="Yogurt (low-fat)"/>
    <n v="150"/>
    <n v="15"/>
    <n v="7.5"/>
    <n v="4.5"/>
    <n v="0"/>
    <n v="120"/>
    <n v="8"/>
    <m/>
    <m/>
  </r>
  <r>
    <x v="14"/>
    <x v="2"/>
    <s v="Lunch"/>
    <d v="1899-12-30T12:00:00"/>
    <s v="Brown Rice (cooked)"/>
    <n v="150"/>
    <n v="3.9000000000000004"/>
    <n v="34.5"/>
    <n v="1.35"/>
    <n v="3"/>
    <n v="166.5"/>
    <n v="4.5"/>
    <m/>
    <m/>
  </r>
  <r>
    <x v="14"/>
    <x v="2"/>
    <s v="Dinner"/>
    <d v="1899-12-30T18:00:00"/>
    <s v="Chicken Breast (grilled)"/>
    <n v="500"/>
    <n v="155"/>
    <n v="0"/>
    <n v="15"/>
    <n v="0"/>
    <n v="825"/>
    <n v="7.5"/>
    <n v="2500"/>
    <m/>
  </r>
  <r>
    <x v="15"/>
    <x v="2"/>
    <s v="Breakfast"/>
    <d v="1899-12-30T08:00:00"/>
    <s v="Eggs (whole, boiled)"/>
    <n v="150"/>
    <n v="19.5"/>
    <n v="1.5"/>
    <n v="16.5"/>
    <n v="0"/>
    <n v="232.5"/>
    <n v="8"/>
    <m/>
    <m/>
  </r>
  <r>
    <x v="15"/>
    <x v="2"/>
    <s v="Lunch"/>
    <d v="1899-12-30T12:00:00"/>
    <s v="Lentils (cooked)"/>
    <n v="150"/>
    <n v="13.5"/>
    <n v="30"/>
    <n v="0.60000000000000009"/>
    <n v="12"/>
    <n v="174"/>
    <n v="4.5"/>
    <m/>
    <m/>
  </r>
  <r>
    <x v="15"/>
    <x v="2"/>
    <s v="Dinner"/>
    <d v="1899-12-30T18:00:00"/>
    <s v="Chicken Breast (grilled)"/>
    <n v="500"/>
    <n v="155"/>
    <n v="0"/>
    <n v="15"/>
    <n v="0"/>
    <n v="825"/>
    <n v="7.5"/>
    <n v="2500"/>
    <m/>
  </r>
  <r>
    <x v="16"/>
    <x v="2"/>
    <s v="Breakfast"/>
    <d v="1899-12-30T08:00:00"/>
    <s v="Eggs (whole, boiled)"/>
    <n v="150"/>
    <n v="19.5"/>
    <n v="1.5"/>
    <n v="16.5"/>
    <n v="0"/>
    <n v="232.5"/>
    <n v="8"/>
    <m/>
    <m/>
  </r>
  <r>
    <x v="16"/>
    <x v="2"/>
    <s v="Lunch"/>
    <d v="1899-12-30T12:00:00"/>
    <s v="Lentils (cooked)"/>
    <n v="150"/>
    <n v="13.5"/>
    <n v="30"/>
    <n v="0.60000000000000009"/>
    <n v="12"/>
    <n v="174"/>
    <m/>
    <m/>
    <m/>
  </r>
  <r>
    <x v="16"/>
    <x v="2"/>
    <s v="Dinner"/>
    <d v="1899-12-30T18:00:00"/>
    <s v="Chicken Breast (grilled)"/>
    <n v="500"/>
    <n v="155"/>
    <n v="0"/>
    <n v="15"/>
    <n v="0"/>
    <n v="825"/>
    <m/>
    <n v="2500"/>
    <m/>
  </r>
  <r>
    <x v="17"/>
    <x v="2"/>
    <s v="Breakfast"/>
    <d v="1899-12-30T08:00:00"/>
    <s v="Eggs (whole, boiled)"/>
    <n v="150"/>
    <n v="19.5"/>
    <n v="1.5"/>
    <n v="16.5"/>
    <n v="0"/>
    <n v="232.5"/>
    <n v="8"/>
    <m/>
    <m/>
  </r>
  <r>
    <x v="17"/>
    <x v="2"/>
    <s v="Lunch"/>
    <d v="1899-12-30T12:00:00"/>
    <s v="Lentils (cooked)"/>
    <n v="150"/>
    <n v="13.5"/>
    <n v="30"/>
    <n v="0.60000000000000009"/>
    <n v="12"/>
    <n v="174"/>
    <m/>
    <m/>
    <m/>
  </r>
  <r>
    <x v="17"/>
    <x v="2"/>
    <s v="Dinner"/>
    <d v="1899-12-30T18:00:00"/>
    <s v="Chicken Breast (grilled)"/>
    <n v="500"/>
    <n v="155"/>
    <n v="0"/>
    <n v="15"/>
    <n v="0"/>
    <n v="825"/>
    <m/>
    <n v="250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1C6EA05-3303-4597-B657-74397CF7EBCF}" name="PivotTable3"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E47:G61" firstHeaderRow="0" firstDataRow="1" firstDataCol="1"/>
  <pivotFields count="6">
    <pivotField axis="axisRow" showAll="0">
      <items count="20">
        <item x="0"/>
        <item x="1"/>
        <item x="2"/>
        <item x="3"/>
        <item x="4"/>
        <item x="5"/>
        <item x="6"/>
        <item x="7"/>
        <item x="8"/>
        <item x="9"/>
        <item x="10"/>
        <item x="11"/>
        <item x="15"/>
        <item h="1" x="18"/>
        <item h="1" x="12"/>
        <item h="1" x="13"/>
        <item h="1" x="14"/>
        <item h="1" x="16"/>
        <item h="1" x="17"/>
        <item t="default"/>
      </items>
    </pivotField>
    <pivotField showAll="0">
      <items count="5">
        <item x="0"/>
        <item x="1"/>
        <item x="2"/>
        <item x="3"/>
        <item t="default"/>
      </items>
    </pivotField>
    <pivotField dataField="1" showAll="0"/>
    <pivotField dataField="1"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 t="default"/>
      </items>
    </pivotField>
    <pivotField showAll="0">
      <items count="15">
        <item sd="0" x="0"/>
        <item sd="0" x="1"/>
        <item sd="0" x="2"/>
        <item sd="0" x="3"/>
        <item sd="0" x="4"/>
        <item sd="0" x="5"/>
        <item sd="0" x="6"/>
        <item sd="0" x="7"/>
        <item x="8"/>
        <item x="9"/>
        <item sd="0" x="10"/>
        <item sd="0" x="11"/>
        <item sd="0" x="12"/>
        <item sd="0" x="13"/>
        <item t="default"/>
      </items>
    </pivotField>
  </pivotFields>
  <rowFields count="1">
    <field x="0"/>
  </rowFields>
  <rowItems count="14">
    <i>
      <x/>
    </i>
    <i>
      <x v="1"/>
    </i>
    <i>
      <x v="2"/>
    </i>
    <i>
      <x v="3"/>
    </i>
    <i>
      <x v="4"/>
    </i>
    <i>
      <x v="5"/>
    </i>
    <i>
      <x v="6"/>
    </i>
    <i>
      <x v="7"/>
    </i>
    <i>
      <x v="8"/>
    </i>
    <i>
      <x v="9"/>
    </i>
    <i>
      <x v="10"/>
    </i>
    <i>
      <x v="11"/>
    </i>
    <i>
      <x v="12"/>
    </i>
    <i t="grand">
      <x/>
    </i>
  </rowItems>
  <colFields count="1">
    <field x="-2"/>
  </colFields>
  <colItems count="2">
    <i>
      <x/>
    </i>
    <i i="1">
      <x v="1"/>
    </i>
  </colItems>
  <dataFields count="2">
    <dataField name="Calories In" fld="2" baseField="0" baseItem="0"/>
    <dataField name="Calories Out" fld="3" baseField="0" baseItem="0"/>
  </dataFields>
  <formats count="2">
    <format dxfId="27">
      <pivotArea outline="0" collapsedLevelsAreSubtotals="1" fieldPosition="0"/>
    </format>
    <format dxfId="26">
      <pivotArea dataOnly="0" labelOnly="1" outline="0" fieldPosition="0">
        <references count="1">
          <reference field="4294967294" count="2">
            <x v="0"/>
            <x v="1"/>
          </reference>
        </references>
      </pivotArea>
    </format>
  </format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0D7B22-28F0-48F6-B2E3-4F9E9C40EC3C}" name="PivotTable9"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rowHeaderCaption="Week No.">
  <location ref="E37:J42" firstHeaderRow="1" firstDataRow="2" firstDataCol="1"/>
  <pivotFields count="10">
    <pivotField numFmtId="14" showAll="0"/>
    <pivotField axis="axisRow" numFmtId="1" showAll="0">
      <items count="5">
        <item x="0"/>
        <item x="1"/>
        <item x="2"/>
        <item m="1" x="3"/>
        <item t="default"/>
      </items>
    </pivotField>
    <pivotField axis="axisCol" showAll="0">
      <items count="6">
        <item x="1"/>
        <item x="2"/>
        <item x="3"/>
        <item x="0"/>
        <item m="1" x="4"/>
        <item t="default"/>
      </items>
    </pivotField>
    <pivotField showAll="0"/>
    <pivotField numFmtId="1" showAll="0"/>
    <pivotField numFmtId="1" showAll="0"/>
    <pivotField dataField="1" numFmtId="1" showAll="0"/>
    <pivotField numFmtId="2" showAll="0"/>
    <pivotField numFmtId="2" showAll="0"/>
    <pivotField showAll="0"/>
  </pivotFields>
  <rowFields count="1">
    <field x="1"/>
  </rowFields>
  <rowItems count="4">
    <i>
      <x/>
    </i>
    <i>
      <x v="1"/>
    </i>
    <i>
      <x v="2"/>
    </i>
    <i t="grand">
      <x/>
    </i>
  </rowItems>
  <colFields count="1">
    <field x="2"/>
  </colFields>
  <colItems count="5">
    <i>
      <x/>
    </i>
    <i>
      <x v="1"/>
    </i>
    <i>
      <x v="2"/>
    </i>
    <i>
      <x v="3"/>
    </i>
    <i t="grand">
      <x/>
    </i>
  </colItems>
  <dataFields count="1">
    <dataField name="Sum of Duration (mins)" fld="6" baseField="0" baseItem="0" numFmtId="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0A80B57-C20F-4685-A0AA-AB8518D8E7A1}" name="PivotTable18"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rowHeaderCaption="Week No.">
  <location ref="F87:G91" firstHeaderRow="1" firstDataRow="1" firstDataCol="1"/>
  <pivotFields count="14">
    <pivotField numFmtId="14" showAll="0"/>
    <pivotField axis="axisRow" showAll="0">
      <items count="4">
        <item x="0"/>
        <item x="1"/>
        <item x="2"/>
        <item t="default"/>
      </items>
    </pivotField>
    <pivotField showAll="0"/>
    <pivotField numFmtId="20" showAll="0"/>
    <pivotField showAll="0"/>
    <pivotField numFmtId="2" showAll="0"/>
    <pivotField numFmtId="2" showAll="0"/>
    <pivotField numFmtId="2" showAll="0"/>
    <pivotField numFmtId="2" showAll="0"/>
    <pivotField numFmtId="2" showAll="0"/>
    <pivotField showAll="0"/>
    <pivotField dataField="1" numFmtId="166" showAll="0"/>
    <pivotField showAll="0"/>
    <pivotField showAll="0"/>
  </pivotFields>
  <rowFields count="1">
    <field x="1"/>
  </rowFields>
  <rowItems count="4">
    <i>
      <x/>
    </i>
    <i>
      <x v="1"/>
    </i>
    <i>
      <x v="2"/>
    </i>
    <i t="grand">
      <x/>
    </i>
  </rowItems>
  <colItems count="1">
    <i/>
  </colItems>
  <dataFields count="1">
    <dataField name="Average of Sleep (hrs)" fld="11" subtotal="average" baseField="1" baseItem="0" numFmtId="16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7A9567-7B51-494E-A203-637FB3B1EEF2}" name="PivotTable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rowHeaderCaption="Week No.">
  <location ref="E29:F33" firstHeaderRow="1" firstDataRow="1" firstDataCol="1"/>
  <pivotFields count="10">
    <pivotField numFmtId="14" showAll="0"/>
    <pivotField axis="axisRow" numFmtId="1" showAll="0">
      <items count="5">
        <item x="0"/>
        <item x="1"/>
        <item x="2"/>
        <item m="1" x="3"/>
        <item t="default"/>
      </items>
    </pivotField>
    <pivotField showAll="0"/>
    <pivotField showAll="0"/>
    <pivotField numFmtId="1" showAll="0"/>
    <pivotField numFmtId="1" showAll="0"/>
    <pivotField dataField="1" numFmtId="1" showAll="0"/>
    <pivotField numFmtId="2" showAll="0"/>
    <pivotField numFmtId="2" showAll="0"/>
    <pivotField showAll="0"/>
  </pivotFields>
  <rowFields count="1">
    <field x="1"/>
  </rowFields>
  <rowItems count="4">
    <i>
      <x/>
    </i>
    <i>
      <x v="1"/>
    </i>
    <i>
      <x v="2"/>
    </i>
    <i t="grand">
      <x/>
    </i>
  </rowItems>
  <colItems count="1">
    <i/>
  </colItems>
  <dataFields count="1">
    <dataField name="Sum of Duration (mins)" fld="6" baseField="0" baseItem="0" numFmtId="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8911E25-DB70-41ED-BAD7-F1FEE4DBD551}" name="PivotTable1"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L47:O66" firstHeaderRow="0" firstDataRow="1" firstDataCol="1"/>
  <pivotFields count="14">
    <pivotField axis="axisRow" numFmtId="14" showAll="0">
      <items count="19">
        <item x="0"/>
        <item x="1"/>
        <item x="2"/>
        <item x="3"/>
        <item x="4"/>
        <item x="5"/>
        <item x="6"/>
        <item x="7"/>
        <item x="11"/>
        <item x="15"/>
        <item x="8"/>
        <item x="9"/>
        <item x="10"/>
        <item x="12"/>
        <item x="13"/>
        <item x="14"/>
        <item x="16"/>
        <item x="17"/>
        <item t="default"/>
      </items>
    </pivotField>
    <pivotField showAll="0"/>
    <pivotField showAll="0"/>
    <pivotField numFmtId="20" showAll="0"/>
    <pivotField showAll="0"/>
    <pivotField numFmtId="2" showAll="0"/>
    <pivotField numFmtId="2" showAll="0"/>
    <pivotField numFmtId="2" showAll="0"/>
    <pivotField numFmtId="2" showAll="0"/>
    <pivotField numFmtId="2" showAll="0"/>
    <pivotField dataField="1" numFmtId="2" showAll="0"/>
    <pivotField dataField="1" numFmtId="166" showAll="0"/>
    <pivotField dataField="1" showAll="0"/>
    <pivotField showAll="0"/>
  </pivotFields>
  <rowFields count="1">
    <field x="0"/>
  </rowFields>
  <rowItems count="19">
    <i>
      <x/>
    </i>
    <i>
      <x v="1"/>
    </i>
    <i>
      <x v="2"/>
    </i>
    <i>
      <x v="3"/>
    </i>
    <i>
      <x v="4"/>
    </i>
    <i>
      <x v="5"/>
    </i>
    <i>
      <x v="6"/>
    </i>
    <i>
      <x v="7"/>
    </i>
    <i>
      <x v="8"/>
    </i>
    <i>
      <x v="9"/>
    </i>
    <i>
      <x v="10"/>
    </i>
    <i>
      <x v="11"/>
    </i>
    <i>
      <x v="12"/>
    </i>
    <i>
      <x v="13"/>
    </i>
    <i>
      <x v="14"/>
    </i>
    <i>
      <x v="15"/>
    </i>
    <i>
      <x v="16"/>
    </i>
    <i>
      <x v="17"/>
    </i>
    <i t="grand">
      <x/>
    </i>
  </rowItems>
  <colFields count="1">
    <field x="-2"/>
  </colFields>
  <colItems count="3">
    <i>
      <x/>
    </i>
    <i i="1">
      <x v="1"/>
    </i>
    <i i="2">
      <x v="2"/>
    </i>
  </colItems>
  <dataFields count="3">
    <dataField name="Sum of Calories (kcal)" fld="10" baseField="0" baseItem="0" numFmtId="2"/>
    <dataField name="Sum of Sleep (hrs)" fld="11" baseField="0" baseItem="0" numFmtId="166"/>
    <dataField name="Sum of Waters (ml)"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0410FE6-B73E-4B41-AE2D-4C1D6C6DE71F}" name="PivotTable6"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rowHeaderCaption="Date">
  <location ref="E2:F21" firstHeaderRow="1" firstDataRow="1" firstDataCol="1"/>
  <pivotFields count="8">
    <pivotField axis="axisRow" numFmtId="14" showAll="0">
      <items count="25">
        <item x="0"/>
        <item x="1"/>
        <item x="2"/>
        <item x="3"/>
        <item x="4"/>
        <item x="5"/>
        <item x="6"/>
        <item x="7"/>
        <item x="8"/>
        <item x="9"/>
        <item x="10"/>
        <item x="11"/>
        <item x="12"/>
        <item x="13"/>
        <item x="14"/>
        <item x="15"/>
        <item x="16"/>
        <item x="17"/>
        <item m="1" x="19"/>
        <item m="1" x="20"/>
        <item m="1" x="21"/>
        <item m="1" x="22"/>
        <item m="1" x="23"/>
        <item h="1" x="18"/>
        <item t="default"/>
      </items>
    </pivotField>
    <pivotField dataField="1" numFmtId="2" showAll="0"/>
    <pivotField showAll="0"/>
    <pivotField showAll="0"/>
    <pivotField showAll="0"/>
    <pivotField showAll="0"/>
    <pivotField showAll="0"/>
    <pivotField numFmtId="2" showAll="0"/>
  </pivotFields>
  <rowFields count="1">
    <field x="0"/>
  </rowFields>
  <rowItems count="19">
    <i>
      <x/>
    </i>
    <i>
      <x v="1"/>
    </i>
    <i>
      <x v="2"/>
    </i>
    <i>
      <x v="3"/>
    </i>
    <i>
      <x v="4"/>
    </i>
    <i>
      <x v="5"/>
    </i>
    <i>
      <x v="6"/>
    </i>
    <i>
      <x v="7"/>
    </i>
    <i>
      <x v="8"/>
    </i>
    <i>
      <x v="9"/>
    </i>
    <i>
      <x v="10"/>
    </i>
    <i>
      <x v="11"/>
    </i>
    <i>
      <x v="12"/>
    </i>
    <i>
      <x v="13"/>
    </i>
    <i>
      <x v="14"/>
    </i>
    <i>
      <x v="15"/>
    </i>
    <i>
      <x v="16"/>
    </i>
    <i>
      <x v="17"/>
    </i>
    <i t="grand">
      <x/>
    </i>
  </rowItems>
  <colItems count="1">
    <i/>
  </colItems>
  <dataFields count="1">
    <dataField name="Average of Weight (kg)" fld="1" subtotal="average" baseField="0" baseItem="0" numFmtId="2"/>
  </dataFields>
  <chartFormats count="3">
    <chartFormat chart="8" format="3" series="1">
      <pivotArea type="data" outline="0" fieldPosition="0">
        <references count="1">
          <reference field="4294967294" count="1" selected="0">
            <x v="0"/>
          </reference>
        </references>
      </pivotArea>
    </chartFormat>
    <chartFormat chart="10" format="4" series="1">
      <pivotArea type="data" outline="0" fieldPosition="0">
        <references count="1">
          <reference field="4294967294" count="1" selected="0">
            <x v="0"/>
          </reference>
        </references>
      </pivotArea>
    </chartFormat>
    <chartFormat chart="12"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2" xr16:uid="{7551A881-EE43-40C8-80EA-0748A02205F8}" autoFormatId="16" applyNumberFormats="0" applyBorderFormats="0" applyFontFormats="0" applyPatternFormats="0" applyAlignmentFormats="0" applyWidthHeightFormats="0">
  <queryTableRefresh nextId="6">
    <queryTableFields count="4">
      <queryTableField id="1" name="Date" tableColumnId="1"/>
      <queryTableField id="2" name="Week" tableColumnId="2"/>
      <queryTableField id="4" name="Calories (kcal)" tableColumnId="4"/>
      <queryTableField id="5" name="Calories Burned (kcal)"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connectionId="3" xr16:uid="{50932A52-369C-4522-8410-B8FF57F6723E}" autoFormatId="16" applyNumberFormats="0" applyBorderFormats="0" applyFontFormats="0" applyPatternFormats="0" applyAlignmentFormats="0" applyWidthHeightFormats="0">
  <queryTableRefresh nextId="9">
    <queryTableFields count="3">
      <queryTableField id="1" name="Date" tableColumnId="1"/>
      <queryTableField id="7" name="Attribute" tableColumnId="7"/>
      <queryTableField id="8" name="Value" tableColumnId="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4" connectionId="4" xr16:uid="{034EB5C8-4E0B-4BFD-9EC3-103A6E39D96E}" autoFormatId="16" applyNumberFormats="0" applyBorderFormats="0" applyFontFormats="0" applyPatternFormats="0" applyAlignmentFormats="0" applyWidthHeightFormats="0">
  <queryTableRefresh nextId="7">
    <queryTableFields count="6">
      <queryTableField id="1" name="Date" tableColumnId="1"/>
      <queryTableField id="2" name="Calories (kcal)" tableColumnId="2"/>
      <queryTableField id="3" name="Sleep (hrs)" tableColumnId="3"/>
      <queryTableField id="4" name="Waters (ml)" tableColumnId="4"/>
      <queryTableField id="5" name="Table5.Duration (mins)" tableColumnId="5"/>
      <queryTableField id="6" name="Table5.Calories Burned (kcal)" tableColumnId="6"/>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6" xr16:uid="{59496F3B-45A4-4461-9941-F9B6B662F4DC}" autoFormatId="16" applyNumberFormats="0" applyBorderFormats="0" applyFontFormats="0" applyPatternFormats="0" applyAlignmentFormats="0" applyWidthHeightFormats="0">
  <queryTableRefresh nextId="15">
    <queryTableFields count="14">
      <queryTableField id="1" name="Date" tableColumnId="1"/>
      <queryTableField id="2" name="Week" tableColumnId="2"/>
      <queryTableField id="3" name="Meal Type" tableColumnId="3"/>
      <queryTableField id="4" name="Time (24h)" tableColumnId="4"/>
      <queryTableField id="5" name="Food Item" tableColumnId="5"/>
      <queryTableField id="6" name="Quantity(g/ml)" tableColumnId="6"/>
      <queryTableField id="7" name="Protein (g)" tableColumnId="7"/>
      <queryTableField id="8" name="Carbs (g)" tableColumnId="8"/>
      <queryTableField id="9" name="Fats (g)" tableColumnId="9"/>
      <queryTableField id="10" name="Fibre (g)" tableColumnId="10"/>
      <queryTableField id="11" name="Calories (kcal)" tableColumnId="11"/>
      <queryTableField id="12" name="Sleep (hrs)" tableColumnId="12"/>
      <queryTableField id="13" name="Waters (ml)" tableColumnId="13"/>
      <queryTableField id="14" name="Notes" tableColumnId="1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5" xr16:uid="{283266B4-1829-490D-8A1F-8F9EA524E58D}" autoFormatId="16" applyNumberFormats="0" applyBorderFormats="0" applyFontFormats="0" applyPatternFormats="0" applyAlignmentFormats="0" applyWidthHeightFormats="0">
  <queryTableRefresh nextId="11">
    <queryTableFields count="10">
      <queryTableField id="1" name="Date" tableColumnId="1"/>
      <queryTableField id="2" name="Week" tableColumnId="2"/>
      <queryTableField id="3" name="Category" tableColumnId="3"/>
      <queryTableField id="4" name="Exercise" tableColumnId="4"/>
      <queryTableField id="5" name="Sets" tableColumnId="5"/>
      <queryTableField id="6" name="Repetitions" tableColumnId="6"/>
      <queryTableField id="7" name="Duration (mins)" tableColumnId="7"/>
      <queryTableField id="8" name="Weight(kg)" tableColumnId="8"/>
      <queryTableField id="9" name="Calories Burned (kcal)" tableColumnId="9"/>
      <queryTableField id="10" name="Notes" tableColumnId="1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 xr10:uid="{FCF165AB-DDA3-4C51-BE52-695528701AD9}" sourceName="Week">
  <pivotTables>
    <pivotTable tabId="14" name="PivotTable3"/>
  </pivotTables>
  <data>
    <tabular pivotCacheId="711921970">
      <items count="4">
        <i x="0" s="1"/>
        <i x="1"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s__Date" xr10:uid="{EB9CBFAF-3960-4E3A-9CAF-84668C53C5D7}" sourceName="Days (Date)">
  <pivotTables>
    <pivotTable tabId="14" name="PivotTable3"/>
  </pivotTables>
  <data>
    <tabular pivotCacheId="711921970">
      <items count="368">
        <i x="232" s="1"/>
        <i x="233" s="1"/>
        <i x="234" s="1"/>
        <i x="235" s="1"/>
        <i x="236" s="1"/>
        <i x="237" s="1"/>
        <i x="238" s="1"/>
        <i x="239" s="1"/>
        <i x="240" s="1"/>
        <i x="241" s="1"/>
        <i x="242" s="1"/>
        <i x="243" s="1"/>
        <i x="247" s="1"/>
        <i x="0" s="1" nd="1"/>
        <i x="367" s="1" nd="1"/>
        <i x="101" s="1" nd="1"/>
        <i x="223" s="1" nd="1"/>
        <i x="345" s="1" nd="1"/>
        <i x="41" s="1" nd="1"/>
        <i x="10" s="1" nd="1"/>
        <i x="192" s="1" nd="1"/>
        <i x="162" s="1" nd="1"/>
        <i x="70" s="1" nd="1"/>
        <i x="131" s="1" nd="1"/>
        <i x="315" s="1" nd="1"/>
        <i x="284" s="1" nd="1"/>
        <i x="254" s="1" nd="1"/>
        <i x="102" s="1" nd="1"/>
        <i x="224" s="1" nd="1"/>
        <i x="346" s="1" nd="1"/>
        <i x="42" s="1" nd="1"/>
        <i x="11" s="1" nd="1"/>
        <i x="193" s="1" nd="1"/>
        <i x="163" s="1" nd="1"/>
        <i x="71" s="1" nd="1"/>
        <i x="132" s="1" nd="1"/>
        <i x="316" s="1" nd="1"/>
        <i x="285" s="1" nd="1"/>
        <i x="255" s="1" nd="1"/>
        <i x="103" s="1" nd="1"/>
        <i x="225" s="1" nd="1"/>
        <i x="347" s="1" nd="1"/>
        <i x="43" s="1" nd="1"/>
        <i x="12" s="1" nd="1"/>
        <i x="194" s="1" nd="1"/>
        <i x="164" s="1" nd="1"/>
        <i x="72" s="1" nd="1"/>
        <i x="133" s="1" nd="1"/>
        <i x="317" s="1" nd="1"/>
        <i x="286" s="1" nd="1"/>
        <i x="256" s="1" nd="1"/>
        <i x="104" s="1" nd="1"/>
        <i x="226" s="1" nd="1"/>
        <i x="348" s="1" nd="1"/>
        <i x="44" s="1" nd="1"/>
        <i x="13" s="1" nd="1"/>
        <i x="195" s="1" nd="1"/>
        <i x="165" s="1" nd="1"/>
        <i x="73" s="1" nd="1"/>
        <i x="134" s="1" nd="1"/>
        <i x="318" s="1" nd="1"/>
        <i x="287" s="1" nd="1"/>
        <i x="257" s="1" nd="1"/>
        <i x="105" s="1" nd="1"/>
        <i x="227" s="1" nd="1"/>
        <i x="349" s="1" nd="1"/>
        <i x="45" s="1" nd="1"/>
        <i x="14" s="1" nd="1"/>
        <i x="196" s="1" nd="1"/>
        <i x="166" s="1" nd="1"/>
        <i x="74" s="1" nd="1"/>
        <i x="135" s="1" nd="1"/>
        <i x="319" s="1" nd="1"/>
        <i x="288" s="1" nd="1"/>
        <i x="258" s="1" nd="1"/>
        <i x="106" s="1" nd="1"/>
        <i x="228" s="1" nd="1"/>
        <i x="350" s="1" nd="1"/>
        <i x="46" s="1" nd="1"/>
        <i x="15" s="1" nd="1"/>
        <i x="197" s="1" nd="1"/>
        <i x="167" s="1" nd="1"/>
        <i x="75" s="1" nd="1"/>
        <i x="136" s="1" nd="1"/>
        <i x="320" s="1" nd="1"/>
        <i x="289" s="1" nd="1"/>
        <i x="259" s="1" nd="1"/>
        <i x="107" s="1" nd="1"/>
        <i x="229" s="1" nd="1"/>
        <i x="351" s="1" nd="1"/>
        <i x="47" s="1" nd="1"/>
        <i x="16" s="1" nd="1"/>
        <i x="198" s="1" nd="1"/>
        <i x="168" s="1" nd="1"/>
        <i x="76" s="1" nd="1"/>
        <i x="137" s="1" nd="1"/>
        <i x="321" s="1" nd="1"/>
        <i x="290" s="1" nd="1"/>
        <i x="260" s="1" nd="1"/>
        <i x="108" s="1" nd="1"/>
        <i x="230" s="1" nd="1"/>
        <i x="352" s="1" nd="1"/>
        <i x="48" s="1" nd="1"/>
        <i x="17" s="1" nd="1"/>
        <i x="199" s="1" nd="1"/>
        <i x="169" s="1" nd="1"/>
        <i x="77" s="1" nd="1"/>
        <i x="138" s="1" nd="1"/>
        <i x="322" s="1" nd="1"/>
        <i x="291" s="1" nd="1"/>
        <i x="261" s="1" nd="1"/>
        <i x="109" s="1" nd="1"/>
        <i x="231" s="1" nd="1"/>
        <i x="353" s="1" nd="1"/>
        <i x="49" s="1" nd="1"/>
        <i x="18" s="1" nd="1"/>
        <i x="200" s="1" nd="1"/>
        <i x="170" s="1" nd="1"/>
        <i x="78" s="1" nd="1"/>
        <i x="139" s="1" nd="1"/>
        <i x="323" s="1" nd="1"/>
        <i x="292" s="1" nd="1"/>
        <i x="262" s="1" nd="1"/>
        <i x="110" s="1" nd="1"/>
        <i x="354" s="1" nd="1"/>
        <i x="50" s="1" nd="1"/>
        <i x="19" s="1" nd="1"/>
        <i x="201" s="1" nd="1"/>
        <i x="171" s="1" nd="1"/>
        <i x="79" s="1" nd="1"/>
        <i x="140" s="1" nd="1"/>
        <i x="324" s="1" nd="1"/>
        <i x="293" s="1" nd="1"/>
        <i x="263" s="1" nd="1"/>
        <i x="92" s="1" nd="1"/>
        <i x="214" s="1" nd="1"/>
        <i x="336" s="1" nd="1"/>
        <i x="32" s="1" nd="1"/>
        <i x="1" s="1" nd="1"/>
        <i x="183" s="1" nd="1"/>
        <i x="153" s="1" nd="1"/>
        <i x="61" s="1" nd="1"/>
        <i x="122" s="1" nd="1"/>
        <i x="306" s="1" nd="1"/>
        <i x="275" s="1" nd="1"/>
        <i x="245" s="1" nd="1"/>
        <i x="111" s="1" nd="1"/>
        <i x="355" s="1" nd="1"/>
        <i x="51" s="1" nd="1"/>
        <i x="20" s="1" nd="1"/>
        <i x="202" s="1" nd="1"/>
        <i x="172" s="1" nd="1"/>
        <i x="80" s="1" nd="1"/>
        <i x="141" s="1" nd="1"/>
        <i x="325" s="1" nd="1"/>
        <i x="294" s="1" nd="1"/>
        <i x="264" s="1" nd="1"/>
        <i x="112" s="1" nd="1"/>
        <i x="356" s="1" nd="1"/>
        <i x="52" s="1" nd="1"/>
        <i x="21" s="1" nd="1"/>
        <i x="203" s="1" nd="1"/>
        <i x="173" s="1" nd="1"/>
        <i x="81" s="1" nd="1"/>
        <i x="142" s="1" nd="1"/>
        <i x="326" s="1" nd="1"/>
        <i x="295" s="1" nd="1"/>
        <i x="265" s="1" nd="1"/>
        <i x="113" s="1" nd="1"/>
        <i x="357" s="1" nd="1"/>
        <i x="53" s="1" nd="1"/>
        <i x="22" s="1" nd="1"/>
        <i x="204" s="1" nd="1"/>
        <i x="174" s="1" nd="1"/>
        <i x="82" s="1" nd="1"/>
        <i x="143" s="1" nd="1"/>
        <i x="327" s="1" nd="1"/>
        <i x="296" s="1" nd="1"/>
        <i x="266" s="1" nd="1"/>
        <i x="114" s="1" nd="1"/>
        <i x="358" s="1" nd="1"/>
        <i x="54" s="1" nd="1"/>
        <i x="23" s="1" nd="1"/>
        <i x="205" s="1" nd="1"/>
        <i x="175" s="1" nd="1"/>
        <i x="83" s="1" nd="1"/>
        <i x="144" s="1" nd="1"/>
        <i x="328" s="1" nd="1"/>
        <i x="297" s="1" nd="1"/>
        <i x="267" s="1" nd="1"/>
        <i x="115" s="1" nd="1"/>
        <i x="359" s="1" nd="1"/>
        <i x="55" s="1" nd="1"/>
        <i x="24" s="1" nd="1"/>
        <i x="206" s="1" nd="1"/>
        <i x="176" s="1" nd="1"/>
        <i x="84" s="1" nd="1"/>
        <i x="145" s="1" nd="1"/>
        <i x="329" s="1" nd="1"/>
        <i x="298" s="1" nd="1"/>
        <i x="268" s="1" nd="1"/>
        <i x="116" s="1" nd="1"/>
        <i x="360" s="1" nd="1"/>
        <i x="56" s="1" nd="1"/>
        <i x="25" s="1" nd="1"/>
        <i x="207" s="1" nd="1"/>
        <i x="177" s="1" nd="1"/>
        <i x="85" s="1" nd="1"/>
        <i x="146" s="1" nd="1"/>
        <i x="330" s="1" nd="1"/>
        <i x="299" s="1" nd="1"/>
        <i x="269" s="1" nd="1"/>
        <i x="117" s="1" nd="1"/>
        <i x="361" s="1" nd="1"/>
        <i x="57" s="1" nd="1"/>
        <i x="26" s="1" nd="1"/>
        <i x="208" s="1" nd="1"/>
        <i x="178" s="1" nd="1"/>
        <i x="86" s="1" nd="1"/>
        <i x="147" s="1" nd="1"/>
        <i x="331" s="1" nd="1"/>
        <i x="300" s="1" nd="1"/>
        <i x="270" s="1" nd="1"/>
        <i x="118" s="1" nd="1"/>
        <i x="362" s="1" nd="1"/>
        <i x="58" s="1" nd="1"/>
        <i x="27" s="1" nd="1"/>
        <i x="209" s="1" nd="1"/>
        <i x="179" s="1" nd="1"/>
        <i x="87" s="1" nd="1"/>
        <i x="148" s="1" nd="1"/>
        <i x="332" s="1" nd="1"/>
        <i x="301" s="1" nd="1"/>
        <i x="271" s="1" nd="1"/>
        <i x="119" s="1" nd="1"/>
        <i x="363" s="1" nd="1"/>
        <i x="59" s="1" nd="1"/>
        <i x="28" s="1" nd="1"/>
        <i x="210" s="1" nd="1"/>
        <i x="180" s="1" nd="1"/>
        <i x="88" s="1" nd="1"/>
        <i x="149" s="1" nd="1"/>
        <i x="333" s="1" nd="1"/>
        <i x="302" s="1" nd="1"/>
        <i x="272" s="1" nd="1"/>
        <i x="120" s="1" nd="1"/>
        <i x="364" s="1" nd="1"/>
        <i x="60" s="1" nd="1"/>
        <i x="29" s="1" nd="1"/>
        <i x="211" s="1" nd="1"/>
        <i x="181" s="1" nd="1"/>
        <i x="89" s="1" nd="1"/>
        <i x="150" s="1" nd="1"/>
        <i x="334" s="1" nd="1"/>
        <i x="303" s="1" nd="1"/>
        <i x="273" s="1" nd="1"/>
        <i x="93" s="1" nd="1"/>
        <i x="215" s="1" nd="1"/>
        <i x="337" s="1" nd="1"/>
        <i x="33" s="1" nd="1"/>
        <i x="2" s="1" nd="1"/>
        <i x="184" s="1" nd="1"/>
        <i x="154" s="1" nd="1"/>
        <i x="62" s="1" nd="1"/>
        <i x="123" s="1" nd="1"/>
        <i x="307" s="1" nd="1"/>
        <i x="276" s="1" nd="1"/>
        <i x="246" s="1" nd="1"/>
        <i x="121" s="1" nd="1"/>
        <i x="365" s="1" nd="1"/>
        <i x="30" s="1" nd="1"/>
        <i x="212" s="1" nd="1"/>
        <i x="182" s="1" nd="1"/>
        <i x="90" s="1" nd="1"/>
        <i x="151" s="1" nd="1"/>
        <i x="335" s="1" nd="1"/>
        <i x="304" s="1" nd="1"/>
        <i x="274" s="1" nd="1"/>
        <i x="244" s="1" nd="1"/>
        <i x="366" s="1" nd="1"/>
        <i x="31" s="1" nd="1"/>
        <i x="213" s="1" nd="1"/>
        <i x="91" s="1" nd="1"/>
        <i x="152" s="1" nd="1"/>
        <i x="305" s="1" nd="1"/>
        <i x="94" s="1" nd="1"/>
        <i x="216" s="1" nd="1"/>
        <i x="338" s="1" nd="1"/>
        <i x="34" s="1" nd="1"/>
        <i x="3" s="1" nd="1"/>
        <i x="185" s="1" nd="1"/>
        <i x="155" s="1" nd="1"/>
        <i x="63" s="1" nd="1"/>
        <i x="124" s="1" nd="1"/>
        <i x="308" s="1" nd="1"/>
        <i x="277" s="1" nd="1"/>
        <i x="95" s="1" nd="1"/>
        <i x="217" s="1" nd="1"/>
        <i x="339" s="1" nd="1"/>
        <i x="35" s="1" nd="1"/>
        <i x="4" s="1" nd="1"/>
        <i x="186" s="1" nd="1"/>
        <i x="156" s="1" nd="1"/>
        <i x="64" s="1" nd="1"/>
        <i x="125" s="1" nd="1"/>
        <i x="309" s="1" nd="1"/>
        <i x="278" s="1" nd="1"/>
        <i x="248" s="1" nd="1"/>
        <i x="96" s="1" nd="1"/>
        <i x="218" s="1" nd="1"/>
        <i x="340" s="1" nd="1"/>
        <i x="36" s="1" nd="1"/>
        <i x="5" s="1" nd="1"/>
        <i x="187" s="1" nd="1"/>
        <i x="157" s="1" nd="1"/>
        <i x="65" s="1" nd="1"/>
        <i x="126" s="1" nd="1"/>
        <i x="310" s="1" nd="1"/>
        <i x="279" s="1" nd="1"/>
        <i x="249" s="1" nd="1"/>
        <i x="97" s="1" nd="1"/>
        <i x="219" s="1" nd="1"/>
        <i x="341" s="1" nd="1"/>
        <i x="37" s="1" nd="1"/>
        <i x="6" s="1" nd="1"/>
        <i x="188" s="1" nd="1"/>
        <i x="158" s="1" nd="1"/>
        <i x="66" s="1" nd="1"/>
        <i x="127" s="1" nd="1"/>
        <i x="311" s="1" nd="1"/>
        <i x="280" s="1" nd="1"/>
        <i x="250" s="1" nd="1"/>
        <i x="98" s="1" nd="1"/>
        <i x="220" s="1" nd="1"/>
        <i x="342" s="1" nd="1"/>
        <i x="38" s="1" nd="1"/>
        <i x="7" s="1" nd="1"/>
        <i x="189" s="1" nd="1"/>
        <i x="159" s="1" nd="1"/>
        <i x="67" s="1" nd="1"/>
        <i x="128" s="1" nd="1"/>
        <i x="312" s="1" nd="1"/>
        <i x="281" s="1" nd="1"/>
        <i x="251" s="1" nd="1"/>
        <i x="99" s="1" nd="1"/>
        <i x="221" s="1" nd="1"/>
        <i x="343" s="1" nd="1"/>
        <i x="39" s="1" nd="1"/>
        <i x="8" s="1" nd="1"/>
        <i x="190" s="1" nd="1"/>
        <i x="160" s="1" nd="1"/>
        <i x="68" s="1" nd="1"/>
        <i x="129" s="1" nd="1"/>
        <i x="313" s="1" nd="1"/>
        <i x="282" s="1" nd="1"/>
        <i x="252" s="1" nd="1"/>
        <i x="100" s="1" nd="1"/>
        <i x="222" s="1" nd="1"/>
        <i x="344" s="1" nd="1"/>
        <i x="40" s="1" nd="1"/>
        <i x="9" s="1" nd="1"/>
        <i x="191" s="1" nd="1"/>
        <i x="161" s="1" nd="1"/>
        <i x="69" s="1" nd="1"/>
        <i x="130" s="1" nd="1"/>
        <i x="314" s="1" nd="1"/>
        <i x="283" s="1" nd="1"/>
        <i x="25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 xr10:uid="{494A87B5-64E7-42D6-A8D9-7F460CE8AAD0}" sourceName="Months (Date)">
  <pivotTables>
    <pivotTable tabId="14" name="PivotTable3"/>
  </pivotTables>
  <data>
    <tabular pivotCacheId="711921970">
      <items count="14">
        <i x="8" s="1"/>
        <i x="9" s="1"/>
        <i x="1" s="1" nd="1"/>
        <i x="2" s="1" nd="1"/>
        <i x="3" s="1" nd="1"/>
        <i x="4" s="1" nd="1"/>
        <i x="5" s="1" nd="1"/>
        <i x="6" s="1" nd="1"/>
        <i x="7" s="1" nd="1"/>
        <i x="10" s="1" nd="1"/>
        <i x="11" s="1" nd="1"/>
        <i x="12" s="1" nd="1"/>
        <i x="0"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ek" xr10:uid="{5A692C12-B051-476D-8AEE-A784F1907DF7}" cache="Slicer_Week" caption="Week" startItem="1" style="SlicerStyleLight3" rowHeight="222250"/>
  <slicer name="Days (Date)" xr10:uid="{2F97AD0C-0964-455B-ADC2-FA0E07280C86}" cache="Slicer_Days__Date" caption="Days (Date)" startItem="3" style="SlicerStyleLight3" rowHeight="222250"/>
  <slicer name="Months (Date)" xr10:uid="{080C463B-F8F6-4D99-B81C-8D073D2AEB66}" cache="Slicer_Months__Date" caption="Month" style="SlicerStyleLight3" rowHeight="222250"/>
</slicers>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376C27C-7AF9-4983-B226-035DBDB9EF43}" name="Table5" displayName="Table5" ref="D7:M25" totalsRowShown="0" headerRowCellStyle="Normal" dataCellStyle="Normal">
  <autoFilter ref="D7:M25" xr:uid="{8376C27C-7AF9-4983-B226-035DBDB9EF43}"/>
  <tableColumns count="10">
    <tableColumn id="1" xr3:uid="{B03AF115-19F9-4DCF-8A05-983A2471F755}" name="Date" dataDxfId="63" dataCellStyle="Normal"/>
    <tableColumn id="2" xr3:uid="{A34B009C-2D5B-4712-9A1F-98DBC44AE760}" name="Week" dataCellStyle="Normal">
      <calculatedColumnFormula>WEEKNUM(D8,2)</calculatedColumnFormula>
    </tableColumn>
    <tableColumn id="3" xr3:uid="{8CFDDEFF-C32D-47E2-B79C-F57C879F4F52}" name="Category" dataCellStyle="Normal"/>
    <tableColumn id="4" xr3:uid="{B63D87EE-9C5B-4C38-BA2C-0829A9370232}" name="Exercise" dataCellStyle="Normal"/>
    <tableColumn id="5" xr3:uid="{F05FA226-D468-41B4-8DCC-2739D3E54956}" name="Sets" dataDxfId="62" dataCellStyle="Normal"/>
    <tableColumn id="6" xr3:uid="{F5E93C56-CF1E-4F49-9FD9-67A9500BAF1F}" name="Repetitions" dataDxfId="61" dataCellStyle="Normal"/>
    <tableColumn id="7" xr3:uid="{E504A790-F858-4FDC-8FB7-A2D70D864EC3}" name="Duration (mins)" dataDxfId="60" dataCellStyle="Normal"/>
    <tableColumn id="8" xr3:uid="{FA9AA4D1-60FB-406C-A8AB-0CC3D9C56E9E}" name="Weight(kg)" dataDxfId="59" dataCellStyle="Normal">
      <calculatedColumnFormula>_xlfn.XLOOKUP(Table5[[#This Row],[Date]],BodyMeasurementsTable[Date],BodyMeasurementsTable[Weight (kg)],"No Value Entered")</calculatedColumnFormula>
    </tableColumn>
    <tableColumn id="10" xr3:uid="{103460DD-1401-4D89-AFA2-1062A7242B1A}" name="Calories Burned (kcal)" dataDxfId="58" dataCellStyle="Normal">
      <calculatedColumnFormula>((_xlfn.XLOOKUP(Table5[[#This Row],[Exercise]],Table3[Exercise Name],Table3[MET (Metabolic Equivalent)], 0) *'Workout Log'!K8 * 3.5/200)*J8)</calculatedColumnFormula>
    </tableColumn>
    <tableColumn id="9" xr3:uid="{E0E542B8-F41B-4FA4-A619-36F0E9BB8611}" name="Notes" dataCellStyle="Normal"/>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5FC8171-7140-41EE-8BDF-798EFDAC34A2}" name="BodyMeasurementsTable" displayName="BodyMeasurementsTable" ref="D7:N25" totalsRowShown="0" headerRowDxfId="53" dataDxfId="52">
  <autoFilter ref="D7:N25" xr:uid="{85FC8171-7140-41EE-8BDF-798EFDAC34A2}"/>
  <tableColumns count="11">
    <tableColumn id="1" xr3:uid="{20816C7B-9E74-4759-881F-174FB2FF5DBA}" name="Date" dataDxfId="51"/>
    <tableColumn id="2" xr3:uid="{D06E753B-5E94-42D0-A723-A08C389BC38A}" name="Weight (kg)" dataDxfId="50"/>
    <tableColumn id="4" xr3:uid="{AFDA24F6-B8E1-4C3D-A1A9-E8F14E6B9D11}" name="Chest (cm)" dataDxfId="49"/>
    <tableColumn id="5" xr3:uid="{9D2FEE92-9618-4B89-B7FF-0638453A673B}" name="Waist (cm)" dataDxfId="48"/>
    <tableColumn id="6" xr3:uid="{256F45CA-5E46-4197-9649-56C8D8583313}" name="Hips (cm)" dataDxfId="47"/>
    <tableColumn id="7" xr3:uid="{A18EB6DD-895E-4378-A1B1-76DD839536A8}" name="Arms (cm)" dataDxfId="46"/>
    <tableColumn id="8" xr3:uid="{57A6D292-36DD-4933-91D9-5731CB4E4CBF}" name="Thighs (cm)" dataDxfId="45"/>
    <tableColumn id="9" xr3:uid="{E58F2D97-577E-45D1-B79C-17BD0088C83C}" name="BMI" dataDxfId="44">
      <calculatedColumnFormula>E8/((H$5/100)^2)</calculatedColumnFormula>
    </tableColumn>
    <tableColumn id="3" xr3:uid="{217BC4C3-ADDD-4F01-88B3-07596CCA0DA3}" name="Underweight (18.5)" dataDxfId="43"/>
    <tableColumn id="10" xr3:uid="{9698EB97-B61C-42AD-81BC-8B1660DD888F}" name="Healthy (24.9)" dataDxfId="42"/>
    <tableColumn id="11" xr3:uid="{BDA5AD58-BD72-4D67-97CC-A5368EDCAEBB}" name="Overweight (30)" dataDxfId="41"/>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C857AA1-81D5-40A9-A890-5560FCFBAC29}" name="Table9" displayName="Table9" ref="D7:Q69" totalsRowShown="0" headerRowCellStyle="Normal" dataCellStyle="Normal">
  <autoFilter ref="D7:Q69" xr:uid="{BC857AA1-81D5-40A9-A890-5560FCFBAC29}"/>
  <tableColumns count="14">
    <tableColumn id="1" xr3:uid="{450563BC-6F9B-4961-94B2-B134EE93690A}" name="Date" dataDxfId="36" dataCellStyle="Normal"/>
    <tableColumn id="2" xr3:uid="{34707E8A-AEEF-48AE-B570-F54AD03214BC}" name="Week" dataCellStyle="Normal">
      <calculatedColumnFormula>WEEKNUM('Diet Plan Log'!$D8)</calculatedColumnFormula>
    </tableColumn>
    <tableColumn id="3" xr3:uid="{541BF504-CBB8-4126-BE7F-5C232FBCCD5D}" name="Meal Type" dataCellStyle="Normal"/>
    <tableColumn id="4" xr3:uid="{D1BAE438-8D87-4B2C-A373-AFDBE149FB51}" name="Time (24h)" dataDxfId="35" dataCellStyle="Normal"/>
    <tableColumn id="5" xr3:uid="{86770DBA-4525-4E58-84D5-537F772D5CFD}" name="Food Item" dataCellStyle="Normal"/>
    <tableColumn id="6" xr3:uid="{FF5C1776-7A10-4CCA-9E0B-F77D82ADD2C5}" name="Quantity(g/ml)" dataDxfId="34" dataCellStyle="Normal"/>
    <tableColumn id="7" xr3:uid="{9726E5EC-F03D-4EDB-A8B4-E901E8E89C57}" name="Protein (g)" dataDxfId="33" dataCellStyle="Normal">
      <calculatedColumnFormula>_xlfn.XLOOKUP(Table9[[#This Row],[Food Item]], Table1[Food Item], Table1[Protein (g)]) * (Table9[[#This Row],[Quantity(g/ml)]]/100)</calculatedColumnFormula>
    </tableColumn>
    <tableColumn id="8" xr3:uid="{B42658AC-7AEA-42A8-95D4-A4762B9ED106}" name="Carbs (g)" dataDxfId="32" dataCellStyle="Normal">
      <calculatedColumnFormula>_xlfn.XLOOKUP(Table9[[#This Row],[Food Item]], Table1[Food Item], Table1[Carbs (g)] ) * (Table9[[#This Row],[Quantity(g/ml)]]/100)</calculatedColumnFormula>
    </tableColumn>
    <tableColumn id="9" xr3:uid="{AE47F74C-7365-4EC3-A4D2-559E0FB06FC3}" name="Fats (g)" dataDxfId="31" dataCellStyle="Normal">
      <calculatedColumnFormula>_xlfn.XLOOKUP(Table9[[#This Row],[Food Item]], Table1[Food Item], Table1[Fats (g)] ) * (Table9[[#This Row],[Quantity(g/ml)]]/100)</calculatedColumnFormula>
    </tableColumn>
    <tableColumn id="15" xr3:uid="{4566FAC8-A1E8-460C-8464-B7B1A29BE4B3}" name="Fibre (g)" dataDxfId="30" dataCellStyle="Normal">
      <calculatedColumnFormula>_xlfn.XLOOKUP(Table9[[#This Row],[Food Item]], Table1[Food Item], Table1[Fiber (g)]) * (Table9[[#This Row],[Quantity(g/ml)]]/100)</calculatedColumnFormula>
    </tableColumn>
    <tableColumn id="10" xr3:uid="{CF00874E-01A9-474B-8BEB-B987732568DB}" name="Calories (kcal)" dataDxfId="29" dataCellStyle="Normal">
      <calculatedColumnFormula>_xlfn.XLOOKUP(Table9[[#This Row],[Food Item]], Table1[Food Item], Table1[Calories (kcal)]) * (Table9[[#This Row],[Quantity(g/ml)]]/100)</calculatedColumnFormula>
    </tableColumn>
    <tableColumn id="11" xr3:uid="{07831E99-4616-48D1-9BF1-4FBA3A7C917C}" name="Sleep (hrs)" dataDxfId="28" dataCellStyle="Normal"/>
    <tableColumn id="12" xr3:uid="{BFE40AF8-7C56-4991-A321-22F79A2C1346}" name="Waters (ml)" dataCellStyle="Normal"/>
    <tableColumn id="14" xr3:uid="{380D7A35-CEBD-48AA-8270-D7237E489B76}" name="Notes" dataCellStyle="Normal"/>
  </tableColumns>
  <tableStyleInfo name="TableStyleMedium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34BF6B6-FE73-4812-805F-4F55EF668C9C}" name="Table3" displayName="Table3" ref="D6:G34" totalsRowShown="0" headerRowCellStyle="Normal" dataCellStyle="Normal">
  <autoFilter ref="D6:G34" xr:uid="{B34BF6B6-FE73-4812-805F-4F55EF668C9C}"/>
  <tableColumns count="4">
    <tableColumn id="1" xr3:uid="{FAE4EB7B-29A9-4793-8D5C-EDBCA9E69BDA}" name="Exercise Category" dataCellStyle="Normal"/>
    <tableColumn id="2" xr3:uid="{A1D9609B-0B68-4B5D-961C-0862730B96D2}" name="Exercise Name" dataCellStyle="Normal"/>
    <tableColumn id="3" xr3:uid="{52EFFAA6-5826-4695-9DF2-E137F2980EF7}" name="MET (Metabolic Equivalent)" dataCellStyle="Normal"/>
    <tableColumn id="4" xr3:uid="{90543357-FA0B-4D3B-B3B1-522E01B58361}" name="Notes" dataCellStyle="Normal"/>
  </tableColumns>
  <tableStyleInfo name="TableStyleMedium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850309-B191-48FF-84A8-43C7D000E34E}" name="Table1" displayName="Table1" ref="D7:J27" totalsRowShown="0" headerRowCellStyle="Normal" dataCellStyle="Normal">
  <autoFilter ref="D7:J27" xr:uid="{5C850309-B191-48FF-84A8-43C7D000E34E}"/>
  <tableColumns count="7">
    <tableColumn id="1" xr3:uid="{D208F6D4-70A7-44B0-AA4A-47333A9EF624}" name="Food Item" dataCellStyle="Normal"/>
    <tableColumn id="2" xr3:uid="{876E946B-07ED-4013-A462-560016B0D162}" name="Category" dataCellStyle="Normal"/>
    <tableColumn id="3" xr3:uid="{47566A42-52B5-4797-B0B4-138C81170D9B}" name="Protein (g)" dataCellStyle="Normal"/>
    <tableColumn id="4" xr3:uid="{8DEE1583-6322-4399-A156-B557B898F724}" name="Carbs (g)" dataCellStyle="Normal"/>
    <tableColumn id="5" xr3:uid="{3A38AB36-5EEC-4306-8AF7-0FC4CAABA7DA}" name="Fats (g)" dataCellStyle="Normal"/>
    <tableColumn id="6" xr3:uid="{49E4E285-9EA0-4542-BFDA-28CC03D21F1B}" name="Fiber (g)" dataCellStyle="Normal"/>
    <tableColumn id="7" xr3:uid="{7CA91B13-7C46-46DB-97CA-57170E63A688}" name="Calories (kcal)" dataCellStyle="Normal"/>
  </tableColumns>
  <tableStyleInfo name="TableStyleMedium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F0D52CD-6E0B-4593-8DAF-28EF76BF047D}" name="Merge1" displayName="Merge1" ref="D1:G63" tableType="queryTable" totalsRowShown="0">
  <autoFilter ref="D1:G63" xr:uid="{BF0D52CD-6E0B-4593-8DAF-28EF76BF047D}"/>
  <tableColumns count="4">
    <tableColumn id="1" xr3:uid="{E00BE88D-E5E5-4452-B4EA-23D828247A72}" uniqueName="1" name="Date" queryTableFieldId="1" dataDxfId="25"/>
    <tableColumn id="2" xr3:uid="{360E2D30-4F94-42A5-B70B-F5813D71F941}" uniqueName="2" name="Week" queryTableFieldId="2"/>
    <tableColumn id="4" xr3:uid="{7F69F68B-762F-464B-9350-A4749CDD2382}" uniqueName="4" name="Calories (kcal)" queryTableFieldId="4" dataDxfId="24"/>
    <tableColumn id="5" xr3:uid="{84A6ACFB-BBBD-492A-97D6-86372B12E809}" uniqueName="5" name="Calories Burned (kcal)" queryTableFieldId="5" dataDxfId="2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202662F-651E-4D7B-832B-FE7A63135A08}" name="Merge1__2" displayName="Merge1__2" ref="I1:K186" tableType="queryTable" totalsRowShown="0">
  <autoFilter ref="I1:K186" xr:uid="{F202662F-651E-4D7B-832B-FE7A63135A08}"/>
  <tableColumns count="3">
    <tableColumn id="1" xr3:uid="{7556575E-5C2E-4F96-8628-C7630B834FF3}" uniqueName="1" name="Date" queryTableFieldId="1" dataDxfId="22"/>
    <tableColumn id="7" xr3:uid="{CBCBA7FE-27A1-4293-96E4-FC3B1A79C32E}" uniqueName="7" name="Attribute" queryTableFieldId="7" dataDxfId="21"/>
    <tableColumn id="8" xr3:uid="{9C511B65-A77D-4936-9BC9-6497939BC576}" uniqueName="8" name="Value" queryTableFieldId="8"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52473E6-1383-445D-9676-283E325F3F06}" name="Merge1__3" displayName="Merge1__3" ref="R1:W63" tableType="queryTable" totalsRowShown="0">
  <autoFilter ref="R1:W63" xr:uid="{252473E6-1383-445D-9676-283E325F3F06}"/>
  <tableColumns count="6">
    <tableColumn id="1" xr3:uid="{D8028EC8-56A9-457C-B39D-8C515C5AB3A7}" uniqueName="1" name="Date" queryTableFieldId="1" dataDxfId="19"/>
    <tableColumn id="2" xr3:uid="{8FCF1DCF-0F05-4348-B3F2-5BB0CF155EFB}" uniqueName="2" name="Calories (kcal)" queryTableFieldId="2"/>
    <tableColumn id="3" xr3:uid="{2E2C4A08-75C5-44FF-86BF-82C3618FF481}" uniqueName="3" name="Sleep (hrs)" queryTableFieldId="3"/>
    <tableColumn id="4" xr3:uid="{1E046662-DFFA-45D6-BFD0-87FDB6D9E503}" uniqueName="4" name="Waters (ml)" queryTableFieldId="4"/>
    <tableColumn id="5" xr3:uid="{11F447E5-D814-4F30-A067-8FA98B3BEC2F}" uniqueName="5" name="Table5.Duration (mins)" queryTableFieldId="5"/>
    <tableColumn id="6" xr3:uid="{341FC77F-6A58-42E9-B4C5-04FCBCE62C44}" uniqueName="6" name="Table5.Calories Burned (kcal)" queryTableFieldId="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FC49D2-AA3D-4BEF-BA9D-AC80E1B80257}" name="Table9_1" displayName="Table9_1" ref="A1:N63" tableType="queryTable" totalsRowShown="0">
  <autoFilter ref="A1:N63" xr:uid="{1FFC49D2-AA3D-4BEF-BA9D-AC80E1B80257}"/>
  <tableColumns count="14">
    <tableColumn id="1" xr3:uid="{FF7F0967-F69C-4245-AC12-1B11C67E4DF6}" uniqueName="1" name="Date" queryTableFieldId="1" dataDxfId="18"/>
    <tableColumn id="2" xr3:uid="{2148DAE2-9CE7-45C6-B51D-3F6DD1D507E3}" uniqueName="2" name="Week" queryTableFieldId="2"/>
    <tableColumn id="3" xr3:uid="{9C0F28D8-A7C0-4874-857D-60A66F51A267}" uniqueName="3" name="Meal Type" queryTableFieldId="3" dataDxfId="17"/>
    <tableColumn id="4" xr3:uid="{9FFA6EAE-173E-4B28-8D26-048D038F819A}" uniqueName="4" name="Time (24h)" queryTableFieldId="4" dataDxfId="16"/>
    <tableColumn id="5" xr3:uid="{7F7F8521-12F9-41DC-B727-D875FCB1DA44}" uniqueName="5" name="Food Item" queryTableFieldId="5" dataDxfId="15"/>
    <tableColumn id="6" xr3:uid="{86D3CB7F-E1A3-4C41-BDE5-8E4B23109D7A}" uniqueName="6" name="Quantity(g/ml)" queryTableFieldId="6" dataDxfId="14"/>
    <tableColumn id="7" xr3:uid="{C91195CE-AF76-444B-834C-F765362B8878}" uniqueName="7" name="Protein (g)" queryTableFieldId="7" dataDxfId="13"/>
    <tableColumn id="8" xr3:uid="{ED2286C5-73E4-4336-969A-14EA7BE3B35B}" uniqueName="8" name="Carbs (g)" queryTableFieldId="8" dataDxfId="12"/>
    <tableColumn id="9" xr3:uid="{753DF9B7-0648-433C-95FE-9BE1E36AF641}" uniqueName="9" name="Fats (g)" queryTableFieldId="9" dataDxfId="11"/>
    <tableColumn id="10" xr3:uid="{01523B51-6A2F-4846-95C1-96E62204F318}" uniqueName="10" name="Fibre (g)" queryTableFieldId="10" dataDxfId="10"/>
    <tableColumn id="11" xr3:uid="{EF85FA4A-A01A-4C1E-9533-E92D7351AAF6}" uniqueName="11" name="Calories (kcal)" queryTableFieldId="11" dataDxfId="9"/>
    <tableColumn id="12" xr3:uid="{20187D0D-55AB-4620-8B3C-6CE71498FC22}" uniqueName="12" name="Sleep (hrs)" queryTableFieldId="12"/>
    <tableColumn id="13" xr3:uid="{7ADCD348-535A-453D-8BCD-4A7D97F9DBEA}" uniqueName="13" name="Waters (ml)" queryTableFieldId="13"/>
    <tableColumn id="14" xr3:uid="{68509356-EB04-4724-BADD-30A6546D8EF2}" uniqueName="14" name="Notes" queryTableFieldId="14"/>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94259BC-2B86-4E23-BD76-EF5485E9FBCF}" name="Table5_1" displayName="Table5_1" ref="A1:J19" tableType="queryTable" totalsRowShown="0">
  <autoFilter ref="A1:J19" xr:uid="{794259BC-2B86-4E23-BD76-EF5485E9FBCF}"/>
  <tableColumns count="10">
    <tableColumn id="1" xr3:uid="{6CF106DC-808F-4F81-B9E3-6F00B0508204}" uniqueName="1" name="Date" queryTableFieldId="1" dataDxfId="8"/>
    <tableColumn id="2" xr3:uid="{7CD0A1F9-F9BB-4F16-B2A3-E2CD991D6521}" uniqueName="2" name="Week" queryTableFieldId="2"/>
    <tableColumn id="3" xr3:uid="{469BD5F1-6EF5-4837-A4B0-B117E2734034}" uniqueName="3" name="Category" queryTableFieldId="3" dataDxfId="7"/>
    <tableColumn id="4" xr3:uid="{4615D378-6312-47B3-B037-3B13C97BADDF}" uniqueName="4" name="Exercise" queryTableFieldId="4" dataDxfId="6"/>
    <tableColumn id="5" xr3:uid="{AB9B540E-0281-4040-8B66-621102041D7D}" uniqueName="5" name="Sets" queryTableFieldId="5" dataDxfId="5"/>
    <tableColumn id="6" xr3:uid="{03BFCC51-8D87-4EA8-9542-FA5951870EAF}" uniqueName="6" name="Repetitions" queryTableFieldId="6" dataDxfId="4"/>
    <tableColumn id="7" xr3:uid="{46B3068D-385A-441F-977E-0BA2968A950E}" uniqueName="7" name="Duration (mins)" queryTableFieldId="7" dataDxfId="3"/>
    <tableColumn id="8" xr3:uid="{871E3955-B6FB-42D1-B63B-211A9913620B}" uniqueName="8" name="Weight(kg)" queryTableFieldId="8" dataDxfId="2"/>
    <tableColumn id="9" xr3:uid="{57FA14F1-F6A4-4E63-8C0F-1A83754F4504}" uniqueName="9" name="Calories Burned (kcal)" queryTableFieldId="9" dataDxfId="1"/>
    <tableColumn id="10" xr3:uid="{83BEA2C5-E565-4120-A2F6-C7986C790753}" uniqueName="10" name="Notes" queryTableFieldId="10" dataDxfId="0"/>
  </tableColumns>
  <tableStyleInfo name="TableStyleMedium2" showFirstColumn="0" showLastColumn="0" showRowStripes="1" showColumnStripes="0"/>
</table>
</file>

<file path=xl/theme/theme1.xml><?xml version="1.0" encoding="utf-8"?>
<a:theme xmlns:a="http://schemas.openxmlformats.org/drawingml/2006/main" name="Droplet">
  <a:themeElements>
    <a:clrScheme name="Droplet">
      <a:dk1>
        <a:sysClr val="windowText" lastClr="000000"/>
      </a:dk1>
      <a:lt1>
        <a:sysClr val="window" lastClr="FFFFFF"/>
      </a:lt1>
      <a:dk2>
        <a:srgbClr val="355071"/>
      </a:dk2>
      <a:lt2>
        <a:srgbClr val="AABED7"/>
      </a:lt2>
      <a:accent1>
        <a:srgbClr val="2FA3EE"/>
      </a:accent1>
      <a:accent2>
        <a:srgbClr val="4BCAAD"/>
      </a:accent2>
      <a:accent3>
        <a:srgbClr val="86C157"/>
      </a:accent3>
      <a:accent4>
        <a:srgbClr val="D99C3F"/>
      </a:accent4>
      <a:accent5>
        <a:srgbClr val="CE6633"/>
      </a:accent5>
      <a:accent6>
        <a:srgbClr val="A35DD1"/>
      </a:accent6>
      <a:hlink>
        <a:srgbClr val="56BCFE"/>
      </a:hlink>
      <a:folHlink>
        <a:srgbClr val="97C5E3"/>
      </a:folHlink>
    </a:clrScheme>
    <a:fontScheme name="Droplet">
      <a:majorFont>
        <a:latin typeface="Tw Cen MT" panose="020B0602020104020603"/>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w Cen MT" panose="020B0602020104020603"/>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Droplet">
      <a:fillStyleLst>
        <a:solidFill>
          <a:schemeClr val="phClr"/>
        </a:solidFill>
        <a:solidFill>
          <a:schemeClr val="phClr">
            <a:tint val="69000"/>
            <a:satMod val="105000"/>
            <a:lumMod val="110000"/>
          </a:schemeClr>
        </a:solidFill>
        <a:gradFill rotWithShape="1">
          <a:gsLst>
            <a:gs pos="0">
              <a:schemeClr val="phClr">
                <a:tint val="94000"/>
                <a:satMod val="100000"/>
                <a:lumMod val="108000"/>
              </a:schemeClr>
            </a:gs>
            <a:gs pos="50000">
              <a:schemeClr val="phClr">
                <a:tint val="98000"/>
                <a:shade val="100000"/>
                <a:satMod val="100000"/>
                <a:lumMod val="100000"/>
              </a:schemeClr>
            </a:gs>
            <a:gs pos="100000">
              <a:schemeClr val="phClr">
                <a:shade val="72000"/>
                <a:satMod val="120000"/>
                <a:lumMod val="100000"/>
              </a:schemeClr>
            </a:gs>
          </a:gsLst>
          <a:lin ang="5400000" scaled="0"/>
        </a:gradFill>
      </a:fillStyleLst>
      <a:lnStyleLst>
        <a:ln w="9525" cap="flat" cmpd="sng" algn="ctr">
          <a:solidFill>
            <a:schemeClr val="phClr">
              <a:shade val="60000"/>
            </a:scheme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effectStyle>
        <a:effectStyle>
          <a:effectLst>
            <a:outerShdw blurRad="63500" dist="25400" dir="5400000" algn="ctr" rotWithShape="0">
              <a:srgbClr val="000000">
                <a:alpha val="69000"/>
              </a:srgbClr>
            </a:outerShdw>
          </a:effectLst>
          <a:scene3d>
            <a:camera prst="orthographicFront">
              <a:rot lat="0" lon="0" rev="0"/>
            </a:camera>
            <a:lightRig rig="balanced" dir="t">
              <a:rot lat="0" lon="0" rev="1200000"/>
            </a:lightRig>
          </a:scene3d>
          <a:sp3d prstMaterial="plastic">
            <a:bevelT w="25400" h="25400"/>
          </a:sp3d>
        </a:effectStyle>
      </a:effectStyleLst>
      <a:bgFillStyleLst>
        <a:solidFill>
          <a:schemeClr val="phClr"/>
        </a:solidFill>
        <a:gradFill rotWithShape="1">
          <a:gsLst>
            <a:gs pos="0">
              <a:schemeClr val="phClr">
                <a:tint val="90000"/>
                <a:lumMod val="110000"/>
              </a:schemeClr>
            </a:gs>
            <a:gs pos="100000">
              <a:schemeClr val="phClr">
                <a:shade val="64000"/>
                <a:lumMod val="88000"/>
              </a:schemeClr>
            </a:gs>
          </a:gsLst>
          <a:lin ang="5400000" scaled="0"/>
        </a:gradFill>
        <a:gradFill rotWithShape="1">
          <a:gsLst>
            <a:gs pos="0">
              <a:schemeClr val="phClr">
                <a:tint val="84000"/>
                <a:shade val="100000"/>
                <a:hueMod val="130000"/>
                <a:satMod val="150000"/>
                <a:lumMod val="112000"/>
              </a:schemeClr>
            </a:gs>
            <a:gs pos="100000">
              <a:schemeClr val="phClr">
                <a:shade val="92000"/>
                <a:satMod val="140000"/>
                <a:lumMod val="110000"/>
              </a:schemeClr>
            </a:gs>
          </a:gsLst>
          <a:lin ang="5400000" scaled="0"/>
        </a:gradFill>
      </a:bgFillStyleLst>
    </a:fmtScheme>
  </a:themeElements>
  <a:objectDefaults/>
  <a:extraClrSchemeLst/>
  <a:extLst>
    <a:ext uri="{05A4C25C-085E-4340-85A3-A5531E510DB2}">
      <thm15:themeFamily xmlns:thm15="http://schemas.microsoft.com/office/thememl/2012/main" name="Droplet" id="{8984A317-299A-4E50-B45D-BFC9EDE2337A}" vid="{A633B6A3-9E7F-4C10-9C98-2517A3134361}"/>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4.xml"/></Relationships>
</file>

<file path=xl/webextensions/_rels/webextension1.xml.rels><?xml version="1.0" encoding="UTF-8" standalone="yes"?>
<Relationships xmlns="http://schemas.openxmlformats.org/package/2006/relationships"><Relationship Id="rId1" Type="http://schemas.openxmlformats.org/officeDocument/2006/relationships/image" Target="../media/image8.png"/></Relationships>
</file>

<file path=xl/webextensions/_rels/webextension2.xml.rels><?xml version="1.0" encoding="UTF-8" standalone="yes"?>
<Relationships xmlns="http://schemas.openxmlformats.org/package/2006/relationships"><Relationship Id="rId1" Type="http://schemas.openxmlformats.org/officeDocument/2006/relationships/image" Target="../media/image9.png"/></Relationships>
</file>

<file path=xl/webextensions/_rels/webextension3.xml.rels><?xml version="1.0" encoding="UTF-8" standalone="yes"?>
<Relationships xmlns="http://schemas.openxmlformats.org/package/2006/relationships"><Relationship Id="rId1" Type="http://schemas.openxmlformats.org/officeDocument/2006/relationships/image" Target="../media/image10.png"/></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79AA655-8032-4703-8EE5-F21F6C44868C}">
  <we:reference id="wa102957665" version="1.3.0.0" store="en-US" storeType="OMEX"/>
  <we:alternateReferences>
    <we:reference id="wa102957665" version="1.3.0.0" store="wa102957665" storeType="OMEX"/>
  </we:alternateReferences>
  <we:properties>
    <we:property name="opt_cal_sys" value="1"/>
    <we:property name="opt_wn" value="false"/>
    <we:property name="opt_theme" value="3"/>
    <we:property name="opt_size" value="0"/>
    <we:property name="opt_confirm" value="true"/>
  </we:properties>
  <we:bindings/>
  <we:snapshot xmlns:r="http://schemas.openxmlformats.org/officeDocument/2006/relationships" r:embed="rId1"/>
</we:webextension>
</file>

<file path=xl/webextensions/webextension2.xml><?xml version="1.0" encoding="utf-8"?>
<we:webextension xmlns:we="http://schemas.microsoft.com/office/webextensions/webextension/2010/11" id="{B634FEF0-F0B0-E2B1-4E6A-1EFAAE58AA2B}">
  <we:reference id="wa102957665" version="1.3.0.0" store="en-US" storeType="OMEX"/>
  <we:alternateReferences>
    <we:reference id="wa102957665" version="1.3.0.0" store="wa102957665" storeType="OMEX"/>
  </we:alternateReferences>
  <we:properties>
    <we:property name="opt_cal_sys" value="1"/>
    <we:property name="opt_wn" value="false"/>
    <we:property name="opt_theme" value="3"/>
    <we:property name="opt_size" value="0"/>
    <we:property name="opt_confirm" value="true"/>
  </we:properties>
  <we:bindings/>
  <we:snapshot xmlns:r="http://schemas.openxmlformats.org/officeDocument/2006/relationships" r:embed="rId1"/>
</we:webextension>
</file>

<file path=xl/webextensions/webextension3.xml><?xml version="1.0" encoding="utf-8"?>
<we:webextension xmlns:we="http://schemas.microsoft.com/office/webextensions/webextension/2010/11" id="{B66F1948-1E5B-4540-8ADD-860FC05B3B8A}">
  <we:reference id="wa102957665" version="1.3.0.0" store="en-US" storeType="OMEX"/>
  <we:alternateReferences>
    <we:reference id="wa102957665" version="1.3.0.0" store="wa102957665" storeType="OMEX"/>
  </we:alternateReferences>
  <we:properties>
    <we:property name="opt_cal_sys" value="1"/>
    <we:property name="opt_confirm" value="true"/>
    <we:property name="opt_month" value="&quot;2025-09-01&quot;"/>
    <we:property name="opt_size" value="0"/>
    <we:property name="opt_theme" value="3"/>
    <we:property name="opt_wn" value="false"/>
  </we:properties>
  <we:bindings/>
  <we:snapshot xmlns:r="http://schemas.openxmlformats.org/officeDocument/2006/relationships" r:embed="rId1"/>
</we:webextension>
</file>

<file path=xl/webextensions/webextension4.xml><?xml version="1.0" encoding="utf-8"?>
<we:webextension xmlns:we="http://schemas.microsoft.com/office/webextensions/webextension/2010/11" id="{D82A7F36-98F0-4219-9705-31C03C92AF7F}">
  <we:reference id="wa104381071" version="2.0.0.0" store="en-US" storeType="OMEX"/>
  <we:alternateReferences>
    <we:reference id="WA104381071" version="2.0.0.0" store="WA104381071"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6.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7.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8.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9.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7E7E58-C02F-44A4-8D8E-4CCBF5C2BE18}">
  <sheetPr codeName="Sheet4"/>
  <dimension ref="A1"/>
  <sheetViews>
    <sheetView showGridLines="0" tabSelected="1" zoomScaleNormal="100" workbookViewId="0">
      <selection activeCell="A47" sqref="A47"/>
    </sheetView>
  </sheetViews>
  <sheetFormatPr defaultRowHeight="13.8"/>
  <cols>
    <col min="1" max="2" width="8.796875" style="61"/>
    <col min="3" max="3" width="10.69921875" style="61" customWidth="1"/>
    <col min="4" max="16384" width="8.796875" style="61"/>
  </cols>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936FD2-F5CA-4C44-9B84-C0A5587384A8}">
  <sheetPr codeName="Sheet10"/>
  <dimension ref="D3:N9"/>
  <sheetViews>
    <sheetView showGridLines="0" workbookViewId="0">
      <selection activeCell="N207" sqref="N207"/>
    </sheetView>
  </sheetViews>
  <sheetFormatPr defaultRowHeight="13.8"/>
  <cols>
    <col min="1" max="2" width="8.796875" style="8"/>
    <col min="3" max="3" width="11.09765625" style="8" customWidth="1"/>
    <col min="4" max="16384" width="8.796875" style="8"/>
  </cols>
  <sheetData>
    <row r="3" spans="4:14" ht="14.4" customHeight="1">
      <c r="D3" s="30"/>
      <c r="E3" s="31"/>
      <c r="F3" s="32"/>
      <c r="G3" s="32"/>
      <c r="H3" s="32"/>
      <c r="I3" s="32"/>
      <c r="J3" s="32"/>
      <c r="K3" s="32"/>
      <c r="L3" s="32"/>
      <c r="M3" s="32"/>
      <c r="N3" s="32"/>
    </row>
    <row r="4" spans="4:14" ht="29.4" customHeight="1">
      <c r="D4" s="31"/>
      <c r="E4" s="31"/>
      <c r="F4" s="32"/>
      <c r="G4" s="32"/>
      <c r="H4" s="32"/>
      <c r="I4" s="32"/>
      <c r="J4" s="32"/>
      <c r="K4" s="32"/>
      <c r="L4" s="32"/>
      <c r="M4" s="32"/>
      <c r="N4" s="32"/>
    </row>
    <row r="5" spans="4:14" ht="13.8" customHeight="1">
      <c r="D5" s="31"/>
      <c r="E5" s="31"/>
      <c r="F5" s="32"/>
      <c r="G5" s="32"/>
      <c r="H5" s="32"/>
      <c r="I5" s="32"/>
      <c r="J5" s="32"/>
      <c r="K5" s="32"/>
      <c r="L5" s="32"/>
      <c r="M5" s="32"/>
      <c r="N5" s="32"/>
    </row>
    <row r="7" spans="4:14" ht="15">
      <c r="D7" s="33"/>
      <c r="F7" s="34"/>
      <c r="G7" s="34"/>
      <c r="H7" s="34"/>
      <c r="I7" s="34"/>
    </row>
    <row r="8" spans="4:14" ht="15">
      <c r="D8" s="35"/>
    </row>
    <row r="9" spans="4:14" ht="15">
      <c r="D9" s="36"/>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DE06F9-7143-4961-8FBD-2E0D93A4A1E1}">
  <sheetPr codeName="Sheet1"/>
  <dimension ref="D1:O25"/>
  <sheetViews>
    <sheetView showGridLines="0" zoomScaleNormal="100" workbookViewId="0">
      <selection activeCell="G10" sqref="G10"/>
    </sheetView>
  </sheetViews>
  <sheetFormatPr defaultRowHeight="13.8"/>
  <cols>
    <col min="1" max="1" width="8.796875" style="8"/>
    <col min="2" max="2" width="10" style="8" customWidth="1"/>
    <col min="3" max="3" width="11.796875" style="8" customWidth="1"/>
    <col min="4" max="4" width="10.69921875" style="8" customWidth="1"/>
    <col min="5" max="5" width="10" style="8" customWidth="1"/>
    <col min="6" max="6" width="13.796875" style="8" customWidth="1"/>
    <col min="7" max="7" width="17.3984375" style="8" customWidth="1"/>
    <col min="8" max="8" width="10.09765625" style="8" customWidth="1"/>
    <col min="9" max="9" width="14.8984375" style="8" customWidth="1"/>
    <col min="10" max="10" width="20.59765625" style="8" customWidth="1"/>
    <col min="11" max="11" width="16.69921875" style="8" customWidth="1"/>
    <col min="12" max="12" width="19.796875" style="8" customWidth="1"/>
    <col min="13" max="13" width="15.59765625" style="8" customWidth="1"/>
    <col min="14" max="14" width="8.796875" style="8"/>
    <col min="15" max="15" width="134.8984375" style="8" customWidth="1"/>
    <col min="16" max="16384" width="8.796875" style="8"/>
  </cols>
  <sheetData>
    <row r="1" spans="4:15">
      <c r="D1" s="21"/>
      <c r="E1" s="22"/>
      <c r="F1" s="22"/>
      <c r="G1" s="22"/>
      <c r="H1" s="23"/>
      <c r="I1" s="23"/>
      <c r="J1" s="23"/>
      <c r="K1" s="22"/>
      <c r="L1" s="22"/>
      <c r="M1" s="22"/>
    </row>
    <row r="2" spans="4:15">
      <c r="D2" s="21"/>
      <c r="E2" s="22"/>
      <c r="F2" s="22"/>
      <c r="G2" s="22"/>
      <c r="H2" s="23"/>
      <c r="I2" s="23"/>
      <c r="J2" s="23"/>
      <c r="K2" s="22"/>
      <c r="L2" s="22"/>
      <c r="M2" s="22"/>
    </row>
    <row r="3" spans="4:15">
      <c r="D3" s="21"/>
      <c r="E3" s="22"/>
      <c r="F3" s="22"/>
      <c r="G3" s="22"/>
      <c r="H3" s="23"/>
      <c r="I3" s="23"/>
      <c r="J3" s="23"/>
      <c r="K3" s="22"/>
      <c r="L3" s="22"/>
      <c r="M3" s="22"/>
    </row>
    <row r="4" spans="4:15">
      <c r="D4" s="21"/>
      <c r="E4" s="22"/>
      <c r="F4" s="22"/>
      <c r="G4" s="22"/>
      <c r="H4" s="23"/>
      <c r="I4" s="23"/>
      <c r="J4" s="23"/>
      <c r="K4" s="22"/>
      <c r="L4" s="22"/>
      <c r="M4" s="22"/>
    </row>
    <row r="5" spans="4:15">
      <c r="D5" s="21"/>
      <c r="E5" s="22"/>
      <c r="F5" s="22"/>
      <c r="G5" s="22"/>
      <c r="H5" s="23"/>
      <c r="I5" s="23"/>
      <c r="J5" s="23"/>
      <c r="K5" s="22"/>
      <c r="L5" s="22"/>
      <c r="M5" s="22"/>
    </row>
    <row r="6" spans="4:15">
      <c r="D6" s="21"/>
      <c r="F6" s="22"/>
      <c r="H6" s="23"/>
      <c r="I6" s="23"/>
      <c r="J6" s="23"/>
      <c r="K6" s="22"/>
      <c r="L6" s="22"/>
      <c r="M6" s="22"/>
    </row>
    <row r="7" spans="4:15">
      <c r="D7" s="40" t="s">
        <v>0</v>
      </c>
      <c r="E7" t="s">
        <v>43</v>
      </c>
      <c r="F7" t="s">
        <v>8</v>
      </c>
      <c r="G7" t="s">
        <v>7</v>
      </c>
      <c r="H7" s="5" t="s">
        <v>9</v>
      </c>
      <c r="I7" s="5" t="s">
        <v>26</v>
      </c>
      <c r="J7" s="5" t="s">
        <v>130</v>
      </c>
      <c r="K7" s="7" t="s">
        <v>10</v>
      </c>
      <c r="L7" s="5" t="s">
        <v>164</v>
      </c>
      <c r="M7" t="s">
        <v>25</v>
      </c>
    </row>
    <row r="8" spans="4:15">
      <c r="D8" s="40">
        <v>45888</v>
      </c>
      <c r="E8">
        <f>WEEKNUM(D8,2)</f>
        <v>34</v>
      </c>
      <c r="F8" t="s">
        <v>12</v>
      </c>
      <c r="G8" t="s">
        <v>15</v>
      </c>
      <c r="H8" s="5">
        <v>2</v>
      </c>
      <c r="I8" s="5">
        <v>12</v>
      </c>
      <c r="J8" s="5">
        <v>30</v>
      </c>
      <c r="K8" s="7">
        <f>_xlfn.XLOOKUP(Table5[[#This Row],[Date]],BodyMeasurementsTable[Date],BodyMeasurementsTable[Weight (kg)],"No Value Entered")</f>
        <v>72</v>
      </c>
      <c r="L8" s="5">
        <f>((_xlfn.XLOOKUP(Table5[[#This Row],[Exercise]],Table3[Exercise Name],Table3[MET (Metabolic Equivalent)], 0) *'Workout Log'!K8 * 3.5/200)*J8)</f>
        <v>226.79999999999998</v>
      </c>
      <c r="M8"/>
      <c r="O8" s="47" t="s">
        <v>136</v>
      </c>
    </row>
    <row r="9" spans="4:15">
      <c r="D9" s="40">
        <v>45889</v>
      </c>
      <c r="E9">
        <f t="shared" ref="E9:E22" si="0">WEEKNUM(D9,2)</f>
        <v>34</v>
      </c>
      <c r="F9" t="s">
        <v>13</v>
      </c>
      <c r="G9" t="s">
        <v>104</v>
      </c>
      <c r="H9" s="5">
        <v>1</v>
      </c>
      <c r="I9" s="5">
        <v>0</v>
      </c>
      <c r="J9" s="5">
        <v>45</v>
      </c>
      <c r="K9" s="7">
        <f>_xlfn.XLOOKUP(Table5[[#This Row],[Date]],BodyMeasurementsTable[Date],BodyMeasurementsTable[Weight (kg)],"No Value Entered")</f>
        <v>72</v>
      </c>
      <c r="L9" s="5">
        <f>((_xlfn.XLOOKUP(Table5[[#This Row],[Exercise]],Table3[Exercise Name],Table3[MET (Metabolic Equivalent)], 0) *'Workout Log'!K9 * 3.5/200)*J9)</f>
        <v>243.80999999999997</v>
      </c>
      <c r="M9" t="s">
        <v>27</v>
      </c>
      <c r="O9" s="48"/>
    </row>
    <row r="10" spans="4:15">
      <c r="D10" s="40">
        <v>45890</v>
      </c>
      <c r="E10">
        <f t="shared" si="0"/>
        <v>34</v>
      </c>
      <c r="F10" t="s">
        <v>11</v>
      </c>
      <c r="G10" t="s">
        <v>17</v>
      </c>
      <c r="H10" s="5">
        <v>1</v>
      </c>
      <c r="I10" s="5">
        <v>2</v>
      </c>
      <c r="J10" s="5">
        <v>40</v>
      </c>
      <c r="K10" s="7">
        <f>_xlfn.XLOOKUP(Table5[[#This Row],[Date]],BodyMeasurementsTable[Date],BodyMeasurementsTable[Weight (kg)],"No Value Entered")</f>
        <v>72</v>
      </c>
      <c r="L10" s="5">
        <f>((_xlfn.XLOOKUP(Table5[[#This Row],[Exercise]],Table3[Exercise Name],Table3[MET (Metabolic Equivalent)], 0) *'Workout Log'!K10 * 3.5/200)*J10)</f>
        <v>115.92</v>
      </c>
      <c r="M10"/>
      <c r="O10" s="49" t="s">
        <v>137</v>
      </c>
    </row>
    <row r="11" spans="4:15">
      <c r="D11" s="40">
        <v>45891</v>
      </c>
      <c r="E11">
        <f t="shared" si="0"/>
        <v>34</v>
      </c>
      <c r="F11" t="s">
        <v>13</v>
      </c>
      <c r="G11" t="s">
        <v>111</v>
      </c>
      <c r="H11" s="5">
        <v>1</v>
      </c>
      <c r="I11" s="5">
        <v>0</v>
      </c>
      <c r="J11" s="5">
        <v>20</v>
      </c>
      <c r="K11" s="7">
        <f>_xlfn.XLOOKUP(Table5[[#This Row],[Date]],BodyMeasurementsTable[Date],BodyMeasurementsTable[Weight (kg)],"No Value Entered")</f>
        <v>69</v>
      </c>
      <c r="L11" s="5">
        <f>((_xlfn.XLOOKUP(Table5[[#This Row],[Exercise]],Table3[Exercise Name],Table3[MET (Metabolic Equivalent)], 0) *'Workout Log'!K11 * 3.5/200)*J11)</f>
        <v>241.5</v>
      </c>
      <c r="M11"/>
      <c r="O11" s="48"/>
    </row>
    <row r="12" spans="4:15">
      <c r="D12" s="40">
        <v>45892</v>
      </c>
      <c r="E12">
        <f t="shared" si="0"/>
        <v>34</v>
      </c>
      <c r="F12" t="s">
        <v>12</v>
      </c>
      <c r="G12" t="s">
        <v>16</v>
      </c>
      <c r="H12" s="5">
        <v>3</v>
      </c>
      <c r="I12" s="5">
        <v>15</v>
      </c>
      <c r="J12" s="5">
        <v>30</v>
      </c>
      <c r="K12" s="7">
        <f>_xlfn.XLOOKUP(Table5[[#This Row],[Date]],BodyMeasurementsTable[Date],BodyMeasurementsTable[Weight (kg)],"No Value Entered")</f>
        <v>69</v>
      </c>
      <c r="L12" s="5">
        <f>((_xlfn.XLOOKUP(Table5[[#This Row],[Exercise]],Table3[Exercise Name],Table3[MET (Metabolic Equivalent)], 0) *'Workout Log'!K12 * 3.5/200)*J12)</f>
        <v>181.125</v>
      </c>
      <c r="M12"/>
      <c r="O12" s="47" t="s">
        <v>131</v>
      </c>
    </row>
    <row r="13" spans="4:15">
      <c r="D13" s="40">
        <v>45893</v>
      </c>
      <c r="E13">
        <f t="shared" si="0"/>
        <v>34</v>
      </c>
      <c r="F13" t="s">
        <v>124</v>
      </c>
      <c r="G13" t="s">
        <v>121</v>
      </c>
      <c r="H13" s="5">
        <v>0</v>
      </c>
      <c r="I13" s="5">
        <v>0</v>
      </c>
      <c r="J13" s="5">
        <v>60</v>
      </c>
      <c r="K13" s="7">
        <f>_xlfn.XLOOKUP(Table5[[#This Row],[Date]],BodyMeasurementsTable[Date],BodyMeasurementsTable[Weight (kg)],"No Value Entered")</f>
        <v>69</v>
      </c>
      <c r="L13" s="5">
        <f>((_xlfn.XLOOKUP(Table5[[#This Row],[Exercise]],Table3[Exercise Name],Table3[MET (Metabolic Equivalent)], 0) *'Workout Log'!K13 * 3.5/200)*J13)</f>
        <v>217.35</v>
      </c>
      <c r="M13" t="s">
        <v>44</v>
      </c>
      <c r="O13" s="50"/>
    </row>
    <row r="14" spans="4:15">
      <c r="D14" s="40">
        <v>45894</v>
      </c>
      <c r="E14">
        <f t="shared" si="0"/>
        <v>35</v>
      </c>
      <c r="F14" t="s">
        <v>11</v>
      </c>
      <c r="G14" t="s">
        <v>92</v>
      </c>
      <c r="H14" s="5">
        <v>2</v>
      </c>
      <c r="I14" s="5">
        <v>3.13333333333334</v>
      </c>
      <c r="J14" s="5">
        <v>46</v>
      </c>
      <c r="K14" s="7">
        <f>_xlfn.XLOOKUP(Table5[[#This Row],[Date]],BodyMeasurementsTable[Date],BodyMeasurementsTable[Weight (kg)],"No Value Entered")</f>
        <v>69.2</v>
      </c>
      <c r="L14" s="5">
        <f>((_xlfn.XLOOKUP(Table5[[#This Row],[Exercise]],Table3[Exercise Name],Table3[MET (Metabolic Equivalent)], 0) *'Workout Log'!K14 * 3.5/200)*J14)</f>
        <v>278.52999999999997</v>
      </c>
      <c r="M14" t="s">
        <v>29</v>
      </c>
      <c r="O14" s="50" t="s">
        <v>138</v>
      </c>
    </row>
    <row r="15" spans="4:15">
      <c r="D15" s="40">
        <v>45895</v>
      </c>
      <c r="E15">
        <f t="shared" si="0"/>
        <v>35</v>
      </c>
      <c r="F15" t="s">
        <v>13</v>
      </c>
      <c r="G15" t="s">
        <v>85</v>
      </c>
      <c r="H15" s="5">
        <v>1</v>
      </c>
      <c r="I15" s="5">
        <v>2.6476190476190502</v>
      </c>
      <c r="J15" s="5">
        <v>48.428571428571402</v>
      </c>
      <c r="K15" s="7">
        <f>_xlfn.XLOOKUP(Table5[[#This Row],[Date]],BodyMeasurementsTable[Date],BodyMeasurementsTable[Weight (kg)],"No Value Entered")</f>
        <v>69.2</v>
      </c>
      <c r="L15" s="5">
        <f>((_xlfn.XLOOKUP(Table5[[#This Row],[Exercise]],Table3[Exercise Name],Table3[MET (Metabolic Equivalent)], 0) *'Workout Log'!K15 * 3.5/200)*J15)</f>
        <v>469.17599999999976</v>
      </c>
      <c r="M15"/>
      <c r="O15" s="50" t="s">
        <v>139</v>
      </c>
    </row>
    <row r="16" spans="4:15">
      <c r="D16" s="40">
        <v>45896</v>
      </c>
      <c r="E16">
        <f t="shared" si="0"/>
        <v>35</v>
      </c>
      <c r="F16" t="s">
        <v>12</v>
      </c>
      <c r="G16" t="s">
        <v>92</v>
      </c>
      <c r="H16" s="5">
        <v>2</v>
      </c>
      <c r="I16" s="5">
        <v>2.16190476190476</v>
      </c>
      <c r="J16" s="5">
        <v>50.857142857142797</v>
      </c>
      <c r="K16" s="7">
        <f>_xlfn.XLOOKUP(Table5[[#This Row],[Date]],BodyMeasurementsTable[Date],BodyMeasurementsTable[Weight (kg)],"No Value Entered")</f>
        <v>68.5</v>
      </c>
      <c r="L16" s="5">
        <f>((_xlfn.XLOOKUP(Table5[[#This Row],[Exercise]],Table3[Exercise Name],Table3[MET (Metabolic Equivalent)], 0) *'Workout Log'!K16 * 3.5/200)*J16)</f>
        <v>304.82499999999965</v>
      </c>
      <c r="M16" t="s">
        <v>28</v>
      </c>
      <c r="O16" s="50" t="s">
        <v>140</v>
      </c>
    </row>
    <row r="17" spans="4:15">
      <c r="D17" s="40">
        <v>45897</v>
      </c>
      <c r="E17">
        <f t="shared" si="0"/>
        <v>35</v>
      </c>
      <c r="F17" t="s">
        <v>13</v>
      </c>
      <c r="G17" t="s">
        <v>15</v>
      </c>
      <c r="H17" s="5">
        <v>2.3055555555555598</v>
      </c>
      <c r="I17" s="5">
        <v>1.67619047619048</v>
      </c>
      <c r="J17" s="5">
        <v>53.285714285714299</v>
      </c>
      <c r="K17" s="7">
        <f>_xlfn.XLOOKUP(Table5[[#This Row],[Date]],BodyMeasurementsTable[Date],BodyMeasurementsTable[Weight (kg)],"No Value Entered")</f>
        <v>68.5</v>
      </c>
      <c r="L17" s="5">
        <f>((_xlfn.XLOOKUP(Table5[[#This Row],[Exercise]],Table3[Exercise Name],Table3[MET (Metabolic Equivalent)], 0) *'Workout Log'!K17 * 3.5/200)*J17)</f>
        <v>383.25750000000011</v>
      </c>
      <c r="M17"/>
      <c r="O17" s="48"/>
    </row>
    <row r="18" spans="4:15">
      <c r="D18" s="40">
        <v>45898</v>
      </c>
      <c r="E18">
        <f t="shared" si="0"/>
        <v>35</v>
      </c>
      <c r="F18" t="s">
        <v>11</v>
      </c>
      <c r="G18" t="s">
        <v>96</v>
      </c>
      <c r="H18" s="5">
        <v>2.3888888888888902</v>
      </c>
      <c r="I18" s="5">
        <v>1.19047619047619</v>
      </c>
      <c r="J18" s="5">
        <v>55.714285714285701</v>
      </c>
      <c r="K18" s="7">
        <f>_xlfn.XLOOKUP(Table5[[#This Row],[Date]],BodyMeasurementsTable[Date],BodyMeasurementsTable[Weight (kg)],"No Value Entered")</f>
        <v>63.9</v>
      </c>
      <c r="L18" s="5">
        <f>((_xlfn.XLOOKUP(Table5[[#This Row],[Exercise]],Table3[Exercise Name],Table3[MET (Metabolic Equivalent)], 0) *'Workout Log'!K18 * 3.5/200)*J18)</f>
        <v>249.20999999999992</v>
      </c>
      <c r="M18"/>
      <c r="O18" s="47" t="s">
        <v>132</v>
      </c>
    </row>
    <row r="19" spans="4:15">
      <c r="D19" s="40">
        <v>45899</v>
      </c>
      <c r="E19">
        <f t="shared" si="0"/>
        <v>35</v>
      </c>
      <c r="F19" t="s">
        <v>13</v>
      </c>
      <c r="G19" t="s">
        <v>15</v>
      </c>
      <c r="H19" s="5">
        <v>2.4722222222222201</v>
      </c>
      <c r="I19" s="5">
        <v>0.70476190476190803</v>
      </c>
      <c r="J19" s="5">
        <v>58.142857142857103</v>
      </c>
      <c r="K19" s="7">
        <f>_xlfn.XLOOKUP(Table5[[#This Row],[Date]],BodyMeasurementsTable[Date],BodyMeasurementsTable[Weight (kg)],"No Value Entered")</f>
        <v>63.9</v>
      </c>
      <c r="L19" s="5">
        <f>((_xlfn.XLOOKUP(Table5[[#This Row],[Exercise]],Table3[Exercise Name],Table3[MET (Metabolic Equivalent)], 0) *'Workout Log'!K19 * 3.5/200)*J19)</f>
        <v>390.10949999999968</v>
      </c>
      <c r="M19" t="s">
        <v>30</v>
      </c>
      <c r="O19" s="50"/>
    </row>
    <row r="20" spans="4:15">
      <c r="D20" s="40">
        <v>45900</v>
      </c>
      <c r="E20">
        <f t="shared" si="0"/>
        <v>35</v>
      </c>
      <c r="F20" t="s">
        <v>12</v>
      </c>
      <c r="G20" t="s">
        <v>16</v>
      </c>
      <c r="H20" s="5">
        <v>2.5555555555555598</v>
      </c>
      <c r="I20" s="5">
        <v>0.21904761904761699</v>
      </c>
      <c r="J20" s="5">
        <v>60.571428571428598</v>
      </c>
      <c r="K20" s="7">
        <f>_xlfn.XLOOKUP(Table5[[#This Row],[Date]],BodyMeasurementsTable[Date],BodyMeasurementsTable[Weight (kg)],"No Value Entered")</f>
        <v>62.3</v>
      </c>
      <c r="L20" s="5">
        <f>((_xlfn.XLOOKUP(Table5[[#This Row],[Exercise]],Table3[Exercise Name],Table3[MET (Metabolic Equivalent)], 0) *'Workout Log'!K20 * 3.5/200)*J20)</f>
        <v>330.19000000000011</v>
      </c>
      <c r="M20"/>
      <c r="O20" s="50" t="s">
        <v>133</v>
      </c>
    </row>
    <row r="21" spans="4:15">
      <c r="D21" s="40">
        <v>45901</v>
      </c>
      <c r="E21">
        <f t="shared" si="0"/>
        <v>36</v>
      </c>
      <c r="F21" t="s">
        <v>11</v>
      </c>
      <c r="G21" t="s">
        <v>15</v>
      </c>
      <c r="H21" s="5">
        <v>2.6388888888888902</v>
      </c>
      <c r="I21" s="5">
        <v>-0.266666666666662</v>
      </c>
      <c r="J21" s="5">
        <v>63</v>
      </c>
      <c r="K21" s="7">
        <f>_xlfn.XLOOKUP(Table5[[#This Row],[Date]],BodyMeasurementsTable[Date],BodyMeasurementsTable[Weight (kg)],"No Value Entered")</f>
        <v>62.3</v>
      </c>
      <c r="L21" s="5">
        <f>((_xlfn.XLOOKUP(Table5[[#This Row],[Exercise]],Table3[Exercise Name],Table3[MET (Metabolic Equivalent)], 0) *'Workout Log'!K21 * 3.5/200)*J21)</f>
        <v>412.11449999999991</v>
      </c>
      <c r="M21"/>
      <c r="O21" s="50" t="s">
        <v>134</v>
      </c>
    </row>
    <row r="22" spans="4:15">
      <c r="D22" s="40">
        <v>45902</v>
      </c>
      <c r="E22">
        <f t="shared" si="0"/>
        <v>36</v>
      </c>
      <c r="F22" t="s">
        <v>13</v>
      </c>
      <c r="G22" t="s">
        <v>18</v>
      </c>
      <c r="H22" s="5">
        <v>2.7222222222222299</v>
      </c>
      <c r="I22" s="5">
        <v>1</v>
      </c>
      <c r="J22" s="5">
        <v>65.428571428571402</v>
      </c>
      <c r="K22" s="7">
        <f>_xlfn.XLOOKUP(Table5[[#This Row],[Date]],BodyMeasurementsTable[Date],BodyMeasurementsTable[Weight (kg)],"No Value Entered")</f>
        <v>61.4</v>
      </c>
      <c r="L22" s="5">
        <f>((_xlfn.XLOOKUP(Table5[[#This Row],[Exercise]],Table3[Exercise Name],Table3[MET (Metabolic Equivalent)], 0) *'Workout Log'!K22 * 3.5/200)*J22)</f>
        <v>421.81799999999976</v>
      </c>
      <c r="M22"/>
      <c r="O22" s="50" t="s">
        <v>135</v>
      </c>
    </row>
    <row r="23" spans="4:15">
      <c r="D23" s="40">
        <v>45903</v>
      </c>
      <c r="E23">
        <f t="shared" ref="E23:E25" si="1">WEEKNUM(D23,2)</f>
        <v>36</v>
      </c>
      <c r="F23" t="s">
        <v>12</v>
      </c>
      <c r="G23" t="s">
        <v>21</v>
      </c>
      <c r="H23" s="5">
        <v>2</v>
      </c>
      <c r="I23" s="5">
        <v>2</v>
      </c>
      <c r="J23" s="5">
        <v>20</v>
      </c>
      <c r="K23" s="7">
        <f>_xlfn.XLOOKUP(Table5[[#This Row],[Date]],BodyMeasurementsTable[Date],BodyMeasurementsTable[Weight (kg)],"No Value Entered")</f>
        <v>61.4</v>
      </c>
      <c r="L23" s="5">
        <f>((_xlfn.XLOOKUP(Table5[[#This Row],[Exercise]],Table3[Exercise Name],Table3[MET (Metabolic Equivalent)], 0) *'Workout Log'!K23 * 3.5/200)*J23)</f>
        <v>85.960000000000008</v>
      </c>
      <c r="M23"/>
    </row>
    <row r="24" spans="4:15">
      <c r="D24" s="40">
        <v>45904</v>
      </c>
      <c r="E24">
        <f t="shared" si="1"/>
        <v>36</v>
      </c>
      <c r="F24" t="s">
        <v>11</v>
      </c>
      <c r="G24" t="s">
        <v>115</v>
      </c>
      <c r="H24" s="5">
        <v>2.9722222222222299</v>
      </c>
      <c r="I24" s="5">
        <v>3</v>
      </c>
      <c r="J24" s="5">
        <v>5</v>
      </c>
      <c r="K24" s="7">
        <f>_xlfn.XLOOKUP(Table5[[#This Row],[Date]],BodyMeasurementsTable[Date],BodyMeasurementsTable[Weight (kg)],"No Value Entered")</f>
        <v>58</v>
      </c>
      <c r="L24" s="5">
        <f>((_xlfn.XLOOKUP(Table5[[#This Row],[Exercise]],Table3[Exercise Name],Table3[MET (Metabolic Equivalent)], 0) *'Workout Log'!K24 * 3.5/200)*J24)</f>
        <v>12.6875</v>
      </c>
      <c r="M24"/>
    </row>
    <row r="25" spans="4:15">
      <c r="D25" s="40">
        <v>45905</v>
      </c>
      <c r="E25">
        <f t="shared" si="1"/>
        <v>36</v>
      </c>
      <c r="F25" t="s">
        <v>13</v>
      </c>
      <c r="G25" t="s">
        <v>100</v>
      </c>
      <c r="H25" s="5">
        <v>3.0555555555555598</v>
      </c>
      <c r="I25" s="5">
        <v>3</v>
      </c>
      <c r="J25" s="5">
        <v>60</v>
      </c>
      <c r="K25" s="7">
        <f>_xlfn.XLOOKUP(Table5[[#This Row],[Date]],BodyMeasurementsTable[Date],BodyMeasurementsTable[Weight (kg)],"No Value Entered")</f>
        <v>58</v>
      </c>
      <c r="L25" s="5">
        <f>((_xlfn.XLOOKUP(Table5[[#This Row],[Exercise]],Table3[Exercise Name],Table3[MET (Metabolic Equivalent)], 0) *'Workout Log'!K25 * 3.5/200)*J25)</f>
        <v>213.15</v>
      </c>
      <c r="M25"/>
    </row>
  </sheetData>
  <dataConsolidate/>
  <conditionalFormatting sqref="L8:L25">
    <cfRule type="colorScale" priority="91">
      <colorScale>
        <cfvo type="min"/>
        <cfvo type="percentile" val="50"/>
        <cfvo type="max"/>
        <color rgb="FFF8696B"/>
        <color rgb="FFFFEB84"/>
        <color rgb="FF63BE7B"/>
      </colorScale>
    </cfRule>
  </conditionalFormatting>
  <dataValidations count="1">
    <dataValidation type="date" allowBlank="1" showInputMessage="1" showErrorMessage="1" sqref="D8:D25" xr:uid="{56FBF5E4-4A08-4186-9045-7A4FC06D2FC4}">
      <formula1>45658</formula1>
      <formula2>47118</formula2>
    </dataValidation>
  </dataValidations>
  <pageMargins left="0.7" right="0.7" top="0.75" bottom="0.75" header="0.3" footer="0.3"/>
  <ignoredErrors>
    <ignoredError sqref="F7:F22" listDataValidation="1"/>
  </ignoredErrors>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7E312386-B7CB-4B27-96F6-43DFDF58C118}">
          <x14:formula1>
            <xm:f>ExerciseDB!$D$7:$D$34</xm:f>
          </x14:formula1>
          <xm:sqref>F7:F25</xm:sqref>
        </x14:dataValidation>
        <x14:dataValidation type="list" allowBlank="1" showInputMessage="1" showErrorMessage="1" xr:uid="{4E507E57-4661-459F-A35C-FA476DF900F0}">
          <x14:formula1>
            <xm:f>ExerciseDB!$E$7:$E$34</xm:f>
          </x14:formula1>
          <xm:sqref>G8:G25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9C387-057A-45A0-9B9F-0CC569F5A3B5}">
  <sheetPr codeName="Sheet2"/>
  <dimension ref="D5:W34"/>
  <sheetViews>
    <sheetView showGridLines="0" zoomScaleNormal="100" workbookViewId="0">
      <selection activeCell="D14" sqref="D14"/>
    </sheetView>
  </sheetViews>
  <sheetFormatPr defaultRowHeight="13.8"/>
  <cols>
    <col min="1" max="2" width="8.796875" style="8"/>
    <col min="3" max="3" width="10.69921875" style="8" customWidth="1"/>
    <col min="4" max="4" width="12.8984375" style="8" customWidth="1"/>
    <col min="5" max="5" width="13.09765625" style="8" customWidth="1"/>
    <col min="6" max="6" width="12.796875" style="8" customWidth="1"/>
    <col min="7" max="7" width="12.59765625" style="8" customWidth="1"/>
    <col min="8" max="8" width="11.59765625" style="8" customWidth="1"/>
    <col min="9" max="9" width="12" style="8" customWidth="1"/>
    <col min="10" max="10" width="13.296875" style="8" customWidth="1"/>
    <col min="11" max="11" width="11.8984375" style="8" customWidth="1"/>
    <col min="12" max="12" width="12.59765625" style="8" hidden="1" customWidth="1"/>
    <col min="13" max="13" width="11.3984375" style="8" hidden="1" customWidth="1"/>
    <col min="14" max="14" width="12.5" style="8" hidden="1" customWidth="1"/>
    <col min="15" max="15" width="8.796875" style="8"/>
    <col min="16" max="16" width="64.796875" style="8" customWidth="1"/>
    <col min="17" max="16384" width="8.796875" style="8"/>
  </cols>
  <sheetData>
    <row r="5" spans="4:23" ht="15.6">
      <c r="G5" s="44" t="s">
        <v>175</v>
      </c>
      <c r="H5" s="45">
        <v>152</v>
      </c>
    </row>
    <row r="7" spans="4:23" ht="27.6">
      <c r="D7" s="14" t="s">
        <v>0</v>
      </c>
      <c r="E7" s="15" t="s">
        <v>1</v>
      </c>
      <c r="F7" s="15" t="s">
        <v>2</v>
      </c>
      <c r="G7" s="15" t="s">
        <v>3</v>
      </c>
      <c r="H7" s="15" t="s">
        <v>4</v>
      </c>
      <c r="I7" s="15" t="s">
        <v>5</v>
      </c>
      <c r="J7" s="15" t="s">
        <v>6</v>
      </c>
      <c r="K7" s="15" t="s">
        <v>14</v>
      </c>
      <c r="L7" s="16" t="s">
        <v>158</v>
      </c>
      <c r="M7" s="16" t="s">
        <v>159</v>
      </c>
      <c r="N7" s="16" t="s">
        <v>160</v>
      </c>
    </row>
    <row r="8" spans="4:23">
      <c r="D8" s="17">
        <v>45888</v>
      </c>
      <c r="E8" s="18">
        <v>72</v>
      </c>
      <c r="F8" s="1">
        <v>96.52</v>
      </c>
      <c r="G8" s="1">
        <v>71.12</v>
      </c>
      <c r="H8" s="1">
        <v>101.6</v>
      </c>
      <c r="I8" s="1">
        <v>30.48</v>
      </c>
      <c r="J8" s="1">
        <v>50.8</v>
      </c>
      <c r="K8" s="1">
        <f t="shared" ref="K8:K25" si="0">E8/((H$5/100)^2)</f>
        <v>31.16343490304709</v>
      </c>
      <c r="L8" s="19">
        <v>18.5</v>
      </c>
      <c r="M8" s="19">
        <v>24.9</v>
      </c>
      <c r="N8" s="19">
        <v>30</v>
      </c>
    </row>
    <row r="9" spans="4:23">
      <c r="D9" s="17">
        <v>45889</v>
      </c>
      <c r="E9" s="18">
        <v>72</v>
      </c>
      <c r="F9" s="1">
        <v>96.52</v>
      </c>
      <c r="G9" s="1">
        <v>71.12</v>
      </c>
      <c r="H9" s="1">
        <v>101.6</v>
      </c>
      <c r="I9" s="1">
        <v>30.48</v>
      </c>
      <c r="J9" s="1">
        <v>50.8</v>
      </c>
      <c r="K9" s="1">
        <f t="shared" si="0"/>
        <v>31.16343490304709</v>
      </c>
      <c r="L9" s="19">
        <v>18.5</v>
      </c>
      <c r="M9" s="19">
        <v>24.9</v>
      </c>
      <c r="N9" s="19">
        <v>30</v>
      </c>
      <c r="P9" s="47" t="s">
        <v>141</v>
      </c>
      <c r="R9" s="11"/>
      <c r="S9" s="12"/>
      <c r="T9" s="12"/>
      <c r="U9" s="12"/>
      <c r="V9" s="12"/>
      <c r="W9" s="12"/>
    </row>
    <row r="10" spans="4:23">
      <c r="D10" s="17">
        <v>45890</v>
      </c>
      <c r="E10" s="18">
        <v>72</v>
      </c>
      <c r="F10" s="1">
        <v>96.52</v>
      </c>
      <c r="G10" s="1">
        <v>71.12</v>
      </c>
      <c r="H10" s="1">
        <v>101.6</v>
      </c>
      <c r="I10" s="1">
        <v>30.48</v>
      </c>
      <c r="J10" s="1">
        <v>50.8</v>
      </c>
      <c r="K10" s="1">
        <f t="shared" si="0"/>
        <v>31.16343490304709</v>
      </c>
      <c r="L10" s="19">
        <v>18.5</v>
      </c>
      <c r="M10" s="19">
        <v>24.9</v>
      </c>
      <c r="N10" s="19">
        <v>30</v>
      </c>
      <c r="P10" s="48"/>
    </row>
    <row r="11" spans="4:23">
      <c r="D11" s="17">
        <v>45891</v>
      </c>
      <c r="E11" s="18">
        <v>69</v>
      </c>
      <c r="F11" s="1">
        <v>96.52</v>
      </c>
      <c r="G11" s="1">
        <v>71.12</v>
      </c>
      <c r="H11" s="1">
        <v>101.6</v>
      </c>
      <c r="I11" s="1">
        <v>30.48</v>
      </c>
      <c r="J11" s="1">
        <v>50.8</v>
      </c>
      <c r="K11" s="1">
        <f t="shared" si="0"/>
        <v>29.864958448753463</v>
      </c>
      <c r="L11" s="19">
        <v>18.5</v>
      </c>
      <c r="M11" s="19">
        <v>24.9</v>
      </c>
      <c r="N11" s="19">
        <v>30</v>
      </c>
      <c r="P11" s="47" t="s">
        <v>142</v>
      </c>
    </row>
    <row r="12" spans="4:23">
      <c r="D12" s="17">
        <v>45892</v>
      </c>
      <c r="E12" s="18">
        <v>69</v>
      </c>
      <c r="F12" s="1">
        <v>96.52</v>
      </c>
      <c r="G12" s="1">
        <v>68.58</v>
      </c>
      <c r="H12" s="1">
        <v>101.6</v>
      </c>
      <c r="I12" s="1">
        <v>30.48</v>
      </c>
      <c r="J12" s="1">
        <v>48.26</v>
      </c>
      <c r="K12" s="1">
        <f t="shared" si="0"/>
        <v>29.864958448753463</v>
      </c>
      <c r="L12" s="19">
        <v>18.5</v>
      </c>
      <c r="M12" s="19">
        <v>24.9</v>
      </c>
      <c r="N12" s="19">
        <v>30</v>
      </c>
      <c r="P12" s="48"/>
    </row>
    <row r="13" spans="4:23">
      <c r="D13" s="17">
        <v>45893</v>
      </c>
      <c r="E13" s="18">
        <v>69</v>
      </c>
      <c r="F13" s="1">
        <v>96.52</v>
      </c>
      <c r="G13" s="1">
        <v>68.58</v>
      </c>
      <c r="H13" s="1">
        <v>101.6</v>
      </c>
      <c r="I13" s="1">
        <v>30.48</v>
      </c>
      <c r="J13" s="1">
        <v>48.26</v>
      </c>
      <c r="K13" s="1">
        <f t="shared" si="0"/>
        <v>29.864958448753463</v>
      </c>
      <c r="L13" s="19">
        <v>18.5</v>
      </c>
      <c r="M13" s="19">
        <v>24.9</v>
      </c>
      <c r="N13" s="19">
        <v>30</v>
      </c>
      <c r="P13" s="49" t="s">
        <v>153</v>
      </c>
    </row>
    <row r="14" spans="4:23">
      <c r="D14" s="17">
        <v>45894</v>
      </c>
      <c r="E14" s="18">
        <v>69.2</v>
      </c>
      <c r="F14">
        <v>91.44</v>
      </c>
      <c r="G14" s="1">
        <v>68.58</v>
      </c>
      <c r="H14">
        <v>93.98</v>
      </c>
      <c r="I14" s="1">
        <v>30.48</v>
      </c>
      <c r="J14" s="1">
        <v>48.26</v>
      </c>
      <c r="K14" s="1">
        <f t="shared" si="0"/>
        <v>29.951523545706372</v>
      </c>
      <c r="L14" s="19">
        <v>18.5</v>
      </c>
      <c r="M14" s="19">
        <v>24.9</v>
      </c>
      <c r="N14" s="19">
        <v>30</v>
      </c>
      <c r="P14" s="50" t="s">
        <v>143</v>
      </c>
    </row>
    <row r="15" spans="4:23">
      <c r="D15" s="17">
        <v>45895</v>
      </c>
      <c r="E15" s="18">
        <v>69.2</v>
      </c>
      <c r="F15">
        <v>91.44</v>
      </c>
      <c r="G15" s="1">
        <v>68.58</v>
      </c>
      <c r="H15">
        <v>93.98</v>
      </c>
      <c r="I15" s="1">
        <v>30.48</v>
      </c>
      <c r="J15" s="1">
        <v>48.26</v>
      </c>
      <c r="K15" s="1">
        <f t="shared" si="0"/>
        <v>29.951523545706372</v>
      </c>
      <c r="L15" s="19">
        <v>18.5</v>
      </c>
      <c r="M15" s="19">
        <v>24.9</v>
      </c>
      <c r="N15" s="19">
        <v>30</v>
      </c>
      <c r="P15" s="50" t="s">
        <v>144</v>
      </c>
    </row>
    <row r="16" spans="4:23">
      <c r="D16" s="17">
        <v>45896</v>
      </c>
      <c r="E16" s="18">
        <v>68.5</v>
      </c>
      <c r="F16">
        <v>91.44</v>
      </c>
      <c r="G16" s="1">
        <v>68.58</v>
      </c>
      <c r="H16">
        <v>93.98</v>
      </c>
      <c r="I16">
        <v>24.94</v>
      </c>
      <c r="J16" s="1">
        <v>48.26</v>
      </c>
      <c r="K16" s="1">
        <f t="shared" si="0"/>
        <v>29.648545706371191</v>
      </c>
      <c r="L16" s="19">
        <v>18.5</v>
      </c>
      <c r="M16" s="19">
        <v>24.9</v>
      </c>
      <c r="N16" s="19">
        <v>30</v>
      </c>
      <c r="P16" s="48"/>
    </row>
    <row r="17" spans="4:16">
      <c r="D17" s="17">
        <v>45897</v>
      </c>
      <c r="E17" s="18">
        <v>68.5</v>
      </c>
      <c r="F17">
        <v>91.44</v>
      </c>
      <c r="G17">
        <v>66.040000000000006</v>
      </c>
      <c r="H17">
        <v>93.98</v>
      </c>
      <c r="I17">
        <v>24.94</v>
      </c>
      <c r="J17" s="1">
        <v>48.26</v>
      </c>
      <c r="K17" s="1">
        <f t="shared" si="0"/>
        <v>29.648545706371191</v>
      </c>
      <c r="L17" s="19">
        <v>18.5</v>
      </c>
      <c r="M17" s="19">
        <v>24.9</v>
      </c>
      <c r="N17" s="19">
        <v>30</v>
      </c>
      <c r="P17" s="47" t="s">
        <v>145</v>
      </c>
    </row>
    <row r="18" spans="4:16">
      <c r="D18" s="17">
        <v>45898</v>
      </c>
      <c r="E18" s="18">
        <v>63.9</v>
      </c>
      <c r="F18">
        <v>91.44</v>
      </c>
      <c r="G18">
        <v>66.040000000000006</v>
      </c>
      <c r="H18">
        <v>93.98</v>
      </c>
      <c r="I18">
        <v>24.94</v>
      </c>
      <c r="J18">
        <v>45.72</v>
      </c>
      <c r="K18" s="1">
        <f t="shared" si="0"/>
        <v>27.657548476454291</v>
      </c>
      <c r="L18" s="19">
        <v>18.5</v>
      </c>
      <c r="M18" s="19">
        <v>24.9</v>
      </c>
      <c r="N18" s="19">
        <v>30</v>
      </c>
      <c r="P18" s="50"/>
    </row>
    <row r="19" spans="4:16">
      <c r="D19" s="17">
        <v>45899</v>
      </c>
      <c r="E19" s="18">
        <v>63.9</v>
      </c>
      <c r="F19">
        <v>91.44</v>
      </c>
      <c r="G19">
        <v>66.040000000000006</v>
      </c>
      <c r="H19">
        <v>88.9</v>
      </c>
      <c r="I19">
        <v>24.94</v>
      </c>
      <c r="J19">
        <v>45.72</v>
      </c>
      <c r="K19" s="1">
        <f t="shared" si="0"/>
        <v>27.657548476454291</v>
      </c>
      <c r="L19" s="19">
        <v>18.5</v>
      </c>
      <c r="M19" s="19">
        <v>24.9</v>
      </c>
      <c r="N19" s="19">
        <v>30</v>
      </c>
      <c r="P19" s="50" t="s">
        <v>146</v>
      </c>
    </row>
    <row r="20" spans="4:16">
      <c r="D20" s="17">
        <v>45900</v>
      </c>
      <c r="E20" s="18">
        <v>62.3</v>
      </c>
      <c r="F20">
        <v>91.44</v>
      </c>
      <c r="G20">
        <v>66.040000000000006</v>
      </c>
      <c r="H20">
        <v>88.9</v>
      </c>
      <c r="I20">
        <v>24.94</v>
      </c>
      <c r="J20">
        <v>45.72</v>
      </c>
      <c r="K20" s="1">
        <f t="shared" si="0"/>
        <v>26.965027700831023</v>
      </c>
      <c r="L20" s="19">
        <v>18.5</v>
      </c>
      <c r="M20" s="19">
        <v>24.9</v>
      </c>
      <c r="N20" s="19">
        <v>30</v>
      </c>
      <c r="P20" s="50" t="s">
        <v>147</v>
      </c>
    </row>
    <row r="21" spans="4:16">
      <c r="D21" s="17">
        <v>45901</v>
      </c>
      <c r="E21" s="18">
        <v>62.3</v>
      </c>
      <c r="F21">
        <v>91.44</v>
      </c>
      <c r="G21">
        <v>66.040000000000006</v>
      </c>
      <c r="H21">
        <v>88.9</v>
      </c>
      <c r="I21">
        <v>24.94</v>
      </c>
      <c r="J21">
        <v>45.72</v>
      </c>
      <c r="K21" s="1">
        <f t="shared" si="0"/>
        <v>26.965027700831023</v>
      </c>
      <c r="L21" s="19">
        <v>18.5</v>
      </c>
      <c r="M21" s="19">
        <v>24.9</v>
      </c>
      <c r="N21" s="19">
        <v>30</v>
      </c>
      <c r="P21" s="48" t="s">
        <v>154</v>
      </c>
    </row>
    <row r="22" spans="4:16">
      <c r="D22" s="17">
        <v>45902</v>
      </c>
      <c r="E22" s="18">
        <v>61.4</v>
      </c>
      <c r="F22">
        <v>86.36</v>
      </c>
      <c r="G22">
        <v>66.040000000000006</v>
      </c>
      <c r="H22">
        <v>88.9</v>
      </c>
      <c r="I22">
        <v>24.94</v>
      </c>
      <c r="J22">
        <v>45.72</v>
      </c>
      <c r="K22" s="1">
        <f t="shared" si="0"/>
        <v>26.575484764542935</v>
      </c>
      <c r="L22" s="19">
        <v>18.5</v>
      </c>
      <c r="M22" s="19">
        <v>24.9</v>
      </c>
      <c r="N22" s="19">
        <v>30</v>
      </c>
      <c r="P22" s="48"/>
    </row>
    <row r="23" spans="4:16">
      <c r="D23" s="17">
        <v>45903</v>
      </c>
      <c r="E23" s="18">
        <v>61.4</v>
      </c>
      <c r="F23">
        <v>86.36</v>
      </c>
      <c r="G23">
        <v>63.5</v>
      </c>
      <c r="H23">
        <v>88.9</v>
      </c>
      <c r="I23">
        <v>24.94</v>
      </c>
      <c r="J23">
        <v>45.72</v>
      </c>
      <c r="K23" s="1">
        <f t="shared" si="0"/>
        <v>26.575484764542935</v>
      </c>
      <c r="L23" s="19">
        <v>18.5</v>
      </c>
      <c r="M23" s="19">
        <v>24.9</v>
      </c>
      <c r="N23" s="19">
        <v>30</v>
      </c>
      <c r="P23" s="47" t="s">
        <v>148</v>
      </c>
    </row>
    <row r="24" spans="4:16">
      <c r="D24" s="17">
        <v>45904</v>
      </c>
      <c r="E24" s="18">
        <v>58</v>
      </c>
      <c r="F24">
        <v>86.36</v>
      </c>
      <c r="G24">
        <v>63.5</v>
      </c>
      <c r="H24">
        <v>88.9</v>
      </c>
      <c r="I24">
        <v>25.4</v>
      </c>
      <c r="J24">
        <v>43.18</v>
      </c>
      <c r="K24" s="1">
        <f t="shared" si="0"/>
        <v>25.103878116343491</v>
      </c>
      <c r="L24" s="19">
        <v>18.5</v>
      </c>
      <c r="M24" s="19">
        <v>24.9</v>
      </c>
      <c r="N24" s="19">
        <v>30</v>
      </c>
      <c r="P24" s="50"/>
    </row>
    <row r="25" spans="4:16">
      <c r="D25" s="17">
        <v>45905</v>
      </c>
      <c r="E25" s="18">
        <v>58</v>
      </c>
      <c r="F25">
        <v>86.36</v>
      </c>
      <c r="G25">
        <v>63.5</v>
      </c>
      <c r="H25">
        <v>86.36</v>
      </c>
      <c r="I25">
        <v>25.4</v>
      </c>
      <c r="J25">
        <v>43.18</v>
      </c>
      <c r="K25" s="1">
        <f t="shared" si="0"/>
        <v>25.103878116343491</v>
      </c>
      <c r="L25" s="19">
        <v>18.5</v>
      </c>
      <c r="M25" s="19">
        <v>24.9</v>
      </c>
      <c r="N25" s="19">
        <v>30</v>
      </c>
      <c r="P25" s="50" t="s">
        <v>149</v>
      </c>
    </row>
    <row r="26" spans="4:16">
      <c r="P26" s="50" t="s">
        <v>150</v>
      </c>
    </row>
    <row r="27" spans="4:16">
      <c r="P27" s="50" t="s">
        <v>151</v>
      </c>
    </row>
    <row r="28" spans="4:16">
      <c r="P28" s="50" t="s">
        <v>152</v>
      </c>
    </row>
    <row r="30" spans="4:16">
      <c r="I30" s="13"/>
      <c r="J30" s="10"/>
      <c r="L30" s="65">
        <v>18.5</v>
      </c>
      <c r="M30" s="65">
        <v>24.9</v>
      </c>
      <c r="N30" s="65">
        <v>30</v>
      </c>
    </row>
    <row r="31" spans="4:16">
      <c r="I31" s="13"/>
      <c r="J31" s="10"/>
      <c r="L31" s="66">
        <v>18.5</v>
      </c>
      <c r="M31" s="66">
        <v>24.9</v>
      </c>
      <c r="N31" s="66">
        <v>30</v>
      </c>
    </row>
    <row r="32" spans="4:16">
      <c r="I32" s="10"/>
      <c r="J32" s="10"/>
      <c r="L32" s="65">
        <v>18.5</v>
      </c>
      <c r="M32" s="65">
        <v>24.9</v>
      </c>
      <c r="N32" s="65">
        <v>30</v>
      </c>
    </row>
    <row r="33" spans="12:14">
      <c r="L33" s="66">
        <v>18.5</v>
      </c>
      <c r="M33" s="66">
        <v>24.9</v>
      </c>
      <c r="N33" s="66">
        <v>30</v>
      </c>
    </row>
    <row r="34" spans="12:14">
      <c r="L34" s="65">
        <v>18.5</v>
      </c>
      <c r="M34" s="65">
        <v>24.9</v>
      </c>
      <c r="N34" s="65">
        <v>30</v>
      </c>
    </row>
  </sheetData>
  <conditionalFormatting sqref="K8:K25">
    <cfRule type="expression" dxfId="57" priority="1">
      <formula>$K8&lt;18.5</formula>
    </cfRule>
    <cfRule type="expression" dxfId="56" priority="2">
      <formula>AND($K8&gt;18.5,$K8&lt;24.99)</formula>
    </cfRule>
    <cfRule type="expression" dxfId="55" priority="3">
      <formula>AND($K8&gt;25,$K8&lt;29.99)</formula>
    </cfRule>
    <cfRule type="expression" dxfId="54" priority="5">
      <formula>$K8&gt;30</formula>
    </cfRule>
  </conditionalFormatting>
  <dataValidations count="1">
    <dataValidation type="date" allowBlank="1" showInputMessage="1" showErrorMessage="1" sqref="D8:D25" xr:uid="{77E86FC4-2BD7-4B65-8DC4-2CEFA20AF966}">
      <formula1>45658</formula1>
      <formula2>47118</formula2>
    </dataValidation>
  </dataValidations>
  <pageMargins left="0.7" right="0.7" top="0.75" bottom="0.75" header="0.3" footer="0.3"/>
  <pageSetup paperSize="9"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8192A-2C1E-4837-A199-634C468E5ED9}">
  <sheetPr codeName="Sheet7"/>
  <dimension ref="D3:Q69"/>
  <sheetViews>
    <sheetView showGridLines="0" zoomScaleNormal="100" workbookViewId="0">
      <selection activeCell="D21" sqref="D21"/>
    </sheetView>
  </sheetViews>
  <sheetFormatPr defaultRowHeight="13.8"/>
  <cols>
    <col min="1" max="2" width="8.796875" style="8"/>
    <col min="3" max="3" width="11.69921875" style="8" customWidth="1"/>
    <col min="4" max="4" width="12.296875" style="28" customWidth="1"/>
    <col min="5" max="5" width="9.5" style="22" customWidth="1"/>
    <col min="6" max="6" width="14" style="27" customWidth="1"/>
    <col min="7" max="7" width="14" style="58" customWidth="1"/>
    <col min="8" max="8" width="36.296875" style="26" customWidth="1"/>
    <col min="9" max="9" width="17.59765625" style="51" customWidth="1"/>
    <col min="10" max="10" width="13.796875" style="51" customWidth="1"/>
    <col min="11" max="11" width="12.796875" style="51" customWidth="1"/>
    <col min="12" max="12" width="11.5" style="51" customWidth="1"/>
    <col min="13" max="13" width="12.69921875" style="51" customWidth="1"/>
    <col min="14" max="14" width="14" style="23" customWidth="1"/>
    <col min="15" max="15" width="14.69921875" style="54" customWidth="1"/>
    <col min="16" max="16" width="11.5" style="27" customWidth="1"/>
    <col min="17" max="17" width="17" style="9" customWidth="1"/>
    <col min="18" max="16384" width="8.796875" style="8"/>
  </cols>
  <sheetData>
    <row r="3" spans="4:17" ht="18">
      <c r="D3" s="25"/>
      <c r="F3" s="24"/>
    </row>
    <row r="5" spans="4:17" ht="18">
      <c r="H5" s="56" t="s">
        <v>45</v>
      </c>
      <c r="I5" s="57">
        <v>1200</v>
      </c>
    </row>
    <row r="6" spans="4:17">
      <c r="D6" s="29"/>
      <c r="E6" s="8"/>
      <c r="F6" s="8"/>
      <c r="G6" s="59"/>
      <c r="H6" s="8"/>
      <c r="I6" s="52"/>
      <c r="J6" s="52"/>
      <c r="K6" s="52"/>
      <c r="L6" s="52"/>
      <c r="M6" s="52"/>
      <c r="N6" s="53"/>
      <c r="O6" s="20"/>
      <c r="P6" s="8"/>
      <c r="Q6" s="8"/>
    </row>
    <row r="7" spans="4:17">
      <c r="D7" t="s">
        <v>0</v>
      </c>
      <c r="E7" t="s">
        <v>43</v>
      </c>
      <c r="F7" t="s">
        <v>31</v>
      </c>
      <c r="G7" s="60" t="s">
        <v>40</v>
      </c>
      <c r="H7" t="s">
        <v>32</v>
      </c>
      <c r="I7" s="7" t="s">
        <v>78</v>
      </c>
      <c r="J7" s="7" t="s">
        <v>33</v>
      </c>
      <c r="K7" s="7" t="s">
        <v>34</v>
      </c>
      <c r="L7" s="7" t="s">
        <v>35</v>
      </c>
      <c r="M7" s="7" t="s">
        <v>52</v>
      </c>
      <c r="N7" s="5" t="s">
        <v>163</v>
      </c>
      <c r="O7" s="3" t="s">
        <v>41</v>
      </c>
      <c r="P7" t="s">
        <v>46</v>
      </c>
      <c r="Q7" t="s">
        <v>25</v>
      </c>
    </row>
    <row r="8" spans="4:17">
      <c r="D8" s="40">
        <v>45888</v>
      </c>
      <c r="E8">
        <f>WEEKNUM('Diet Plan Log'!$D8)</f>
        <v>34</v>
      </c>
      <c r="F8" t="s">
        <v>36</v>
      </c>
      <c r="G8" s="60">
        <v>0.33333333333333331</v>
      </c>
      <c r="H8" t="s">
        <v>57</v>
      </c>
      <c r="I8" s="7">
        <v>150</v>
      </c>
      <c r="J8" s="7">
        <f>_xlfn.XLOOKUP(Table9[[#This Row],[Food Item]], Table1[Food Item], Table1[Protein (g)]) * (Table9[[#This Row],[Quantity(g/ml)]]/100)</f>
        <v>19.5</v>
      </c>
      <c r="K8" s="7">
        <f>_xlfn.XLOOKUP(Table9[[#This Row],[Food Item]], Table1[Food Item], Table1[Carbs (g)] ) * (Table9[[#This Row],[Quantity(g/ml)]]/100)</f>
        <v>1.5</v>
      </c>
      <c r="L8" s="7">
        <f>_xlfn.XLOOKUP(Table9[[#This Row],[Food Item]], Table1[Food Item], Table1[Fats (g)] ) * (Table9[[#This Row],[Quantity(g/ml)]]/100)</f>
        <v>16.5</v>
      </c>
      <c r="M8" s="7">
        <f>_xlfn.XLOOKUP(Table9[[#This Row],[Food Item]], Table1[Food Item], Table1[Fiber (g)]) * (Table9[[#This Row],[Quantity(g/ml)]]/100)</f>
        <v>0</v>
      </c>
      <c r="N8" s="5">
        <f>_xlfn.XLOOKUP(Table9[[#This Row],[Food Item]], Table1[Food Item], Table1[Calories (kcal)]) * (Table9[[#This Row],[Quantity(g/ml)]]/100)</f>
        <v>232.5</v>
      </c>
      <c r="O8" s="55">
        <v>8</v>
      </c>
      <c r="P8">
        <v>1200</v>
      </c>
      <c r="Q8"/>
    </row>
    <row r="9" spans="4:17">
      <c r="D9" s="40">
        <v>45888</v>
      </c>
      <c r="E9">
        <f>WEEKNUM('Diet Plan Log'!$D9)</f>
        <v>34</v>
      </c>
      <c r="F9" t="s">
        <v>36</v>
      </c>
      <c r="G9" s="60">
        <v>0.33333333333333331</v>
      </c>
      <c r="H9" t="s">
        <v>66</v>
      </c>
      <c r="I9" s="7">
        <v>20</v>
      </c>
      <c r="J9" s="7">
        <f>_xlfn.XLOOKUP(Table9[[#This Row],[Food Item]], Table1[Food Item], Table1[Protein (g)]) * (Table9[[#This Row],[Quantity(g/ml)]]/100)</f>
        <v>2.6</v>
      </c>
      <c r="K9" s="7">
        <f>_xlfn.XLOOKUP(Table9[[#This Row],[Food Item]], Table1[Food Item], Table1[Carbs (g)] ) * (Table9[[#This Row],[Quantity(g/ml)]]/100)</f>
        <v>9.8000000000000007</v>
      </c>
      <c r="L9" s="7">
        <f>_xlfn.XLOOKUP(Table9[[#This Row],[Food Item]], Table1[Food Item], Table1[Fats (g)] ) * (Table9[[#This Row],[Quantity(g/ml)]]/100)</f>
        <v>0.8</v>
      </c>
      <c r="M9" s="7">
        <f>_xlfn.XLOOKUP(Table9[[#This Row],[Food Item]], Table1[Food Item], Table1[Fiber (g)]) * (Table9[[#This Row],[Quantity(g/ml)]]/100)</f>
        <v>1.4000000000000001</v>
      </c>
      <c r="N9" s="5">
        <f>_xlfn.XLOOKUP(Table9[[#This Row],[Food Item]], Table1[Food Item], Table1[Calories (kcal)]) * (Table9[[#This Row],[Quantity(g/ml)]]/100)</f>
        <v>49.400000000000006</v>
      </c>
      <c r="O9" s="55">
        <v>7.5</v>
      </c>
      <c r="P9">
        <v>1350</v>
      </c>
      <c r="Q9"/>
    </row>
    <row r="10" spans="4:17">
      <c r="D10" s="40">
        <v>45888</v>
      </c>
      <c r="E10">
        <f>WEEKNUM('Diet Plan Log'!$D10)</f>
        <v>34</v>
      </c>
      <c r="F10" t="s">
        <v>37</v>
      </c>
      <c r="G10" s="60">
        <v>0.5</v>
      </c>
      <c r="H10" t="s">
        <v>53</v>
      </c>
      <c r="I10" s="7">
        <v>150</v>
      </c>
      <c r="J10" s="7">
        <f>_xlfn.XLOOKUP(Table9[[#This Row],[Food Item]], Table1[Food Item], Table1[Protein (g)]) * (Table9[[#This Row],[Quantity(g/ml)]]/100)</f>
        <v>46.5</v>
      </c>
      <c r="K10" s="7">
        <f>_xlfn.XLOOKUP(Table9[[#This Row],[Food Item]], Table1[Food Item], Table1[Carbs (g)] ) * (Table9[[#This Row],[Quantity(g/ml)]]/100)</f>
        <v>0</v>
      </c>
      <c r="L10" s="7">
        <f>_xlfn.XLOOKUP(Table9[[#This Row],[Food Item]], Table1[Food Item], Table1[Fats (g)] ) * (Table9[[#This Row],[Quantity(g/ml)]]/100)</f>
        <v>4.5</v>
      </c>
      <c r="M10" s="7">
        <f>_xlfn.XLOOKUP(Table9[[#This Row],[Food Item]], Table1[Food Item], Table1[Fiber (g)]) * (Table9[[#This Row],[Quantity(g/ml)]]/100)</f>
        <v>0</v>
      </c>
      <c r="N10" s="5">
        <f>_xlfn.XLOOKUP(Table9[[#This Row],[Food Item]], Table1[Food Item], Table1[Calories (kcal)]) * (Table9[[#This Row],[Quantity(g/ml)]]/100)</f>
        <v>247.5</v>
      </c>
      <c r="O10" s="55">
        <v>8</v>
      </c>
      <c r="P10">
        <v>2000</v>
      </c>
      <c r="Q10"/>
    </row>
    <row r="11" spans="4:17">
      <c r="D11" s="40">
        <v>45888</v>
      </c>
      <c r="E11">
        <f>WEEKNUM('Diet Plan Log'!$D11)</f>
        <v>34</v>
      </c>
      <c r="F11" t="s">
        <v>37</v>
      </c>
      <c r="G11" s="60">
        <v>0.5</v>
      </c>
      <c r="H11" t="s">
        <v>53</v>
      </c>
      <c r="I11" s="7">
        <v>150</v>
      </c>
      <c r="J11" s="7">
        <f>_xlfn.XLOOKUP(Table9[[#This Row],[Food Item]], Table1[Food Item], Table1[Protein (g)]) * (Table9[[#This Row],[Quantity(g/ml)]]/100)</f>
        <v>46.5</v>
      </c>
      <c r="K11" s="7">
        <f>_xlfn.XLOOKUP(Table9[[#This Row],[Food Item]], Table1[Food Item], Table1[Carbs (g)] ) * (Table9[[#This Row],[Quantity(g/ml)]]/100)</f>
        <v>0</v>
      </c>
      <c r="L11" s="7">
        <f>_xlfn.XLOOKUP(Table9[[#This Row],[Food Item]], Table1[Food Item], Table1[Fats (g)] ) * (Table9[[#This Row],[Quantity(g/ml)]]/100)</f>
        <v>4.5</v>
      </c>
      <c r="M11" s="7">
        <f>_xlfn.XLOOKUP(Table9[[#This Row],[Food Item]], Table1[Food Item], Table1[Fiber (g)]) * (Table9[[#This Row],[Quantity(g/ml)]]/100)</f>
        <v>0</v>
      </c>
      <c r="N11" s="5">
        <f>_xlfn.XLOOKUP(Table9[[#This Row],[Food Item]], Table1[Food Item], Table1[Calories (kcal)]) * (Table9[[#This Row],[Quantity(g/ml)]]/100)</f>
        <v>247.5</v>
      </c>
      <c r="O11" s="55">
        <v>8</v>
      </c>
      <c r="P11">
        <v>2000</v>
      </c>
      <c r="Q11"/>
    </row>
    <row r="12" spans="4:17">
      <c r="D12" s="40">
        <v>45888</v>
      </c>
      <c r="E12">
        <f>WEEKNUM('Diet Plan Log'!$D12)</f>
        <v>34</v>
      </c>
      <c r="F12" t="s">
        <v>38</v>
      </c>
      <c r="G12" s="60">
        <v>0.75</v>
      </c>
      <c r="H12" t="s">
        <v>55</v>
      </c>
      <c r="I12" s="7">
        <v>200</v>
      </c>
      <c r="J12" s="7">
        <f>_xlfn.XLOOKUP(Table9[[#This Row],[Food Item]], Table1[Food Item], Table1[Protein (g)]) * (Table9[[#This Row],[Quantity(g/ml)]]/100)</f>
        <v>52</v>
      </c>
      <c r="K12" s="7">
        <f>_xlfn.XLOOKUP(Table9[[#This Row],[Food Item]], Table1[Food Item], Table1[Carbs (g)] ) * (Table9[[#This Row],[Quantity(g/ml)]]/100)</f>
        <v>0</v>
      </c>
      <c r="L12" s="7">
        <f>_xlfn.XLOOKUP(Table9[[#This Row],[Food Item]], Table1[Food Item], Table1[Fats (g)] ) * (Table9[[#This Row],[Quantity(g/ml)]]/100)</f>
        <v>20</v>
      </c>
      <c r="M12" s="7">
        <f>_xlfn.XLOOKUP(Table9[[#This Row],[Food Item]], Table1[Food Item], Table1[Fiber (g)]) * (Table9[[#This Row],[Quantity(g/ml)]]/100)</f>
        <v>0</v>
      </c>
      <c r="N12" s="5">
        <f>_xlfn.XLOOKUP(Table9[[#This Row],[Food Item]], Table1[Food Item], Table1[Calories (kcal)]) * (Table9[[#This Row],[Quantity(g/ml)]]/100)</f>
        <v>500</v>
      </c>
      <c r="O12" s="55">
        <v>6</v>
      </c>
      <c r="P12">
        <v>1800</v>
      </c>
      <c r="Q12"/>
    </row>
    <row r="13" spans="4:17">
      <c r="D13" s="40">
        <v>45889</v>
      </c>
      <c r="E13">
        <f>WEEKNUM('Diet Plan Log'!$D13)</f>
        <v>34</v>
      </c>
      <c r="F13" t="s">
        <v>36</v>
      </c>
      <c r="G13" s="60">
        <v>0.33333333333333331</v>
      </c>
      <c r="H13" t="s">
        <v>59</v>
      </c>
      <c r="I13" s="7">
        <v>100</v>
      </c>
      <c r="J13" s="7">
        <f>_xlfn.XLOOKUP(Table9[[#This Row],[Food Item]], Table1[Food Item], Table1[Protein (g)]) * (Table9[[#This Row],[Quantity(g/ml)]]/100)</f>
        <v>10</v>
      </c>
      <c r="K13" s="7">
        <f>_xlfn.XLOOKUP(Table9[[#This Row],[Food Item]], Table1[Food Item], Table1[Carbs (g)] ) * (Table9[[#This Row],[Quantity(g/ml)]]/100)</f>
        <v>5</v>
      </c>
      <c r="L13" s="7">
        <f>_xlfn.XLOOKUP(Table9[[#This Row],[Food Item]], Table1[Food Item], Table1[Fats (g)] ) * (Table9[[#This Row],[Quantity(g/ml)]]/100)</f>
        <v>3</v>
      </c>
      <c r="M13" s="7">
        <f>_xlfn.XLOOKUP(Table9[[#This Row],[Food Item]], Table1[Food Item], Table1[Fiber (g)]) * (Table9[[#This Row],[Quantity(g/ml)]]/100)</f>
        <v>0</v>
      </c>
      <c r="N13" s="5">
        <f>_xlfn.XLOOKUP(Table9[[#This Row],[Food Item]], Table1[Food Item], Table1[Calories (kcal)]) * (Table9[[#This Row],[Quantity(g/ml)]]/100)</f>
        <v>80</v>
      </c>
      <c r="O13" s="55">
        <v>8</v>
      </c>
      <c r="P13">
        <v>2100</v>
      </c>
      <c r="Q13"/>
    </row>
    <row r="14" spans="4:17">
      <c r="D14" s="40">
        <v>45889</v>
      </c>
      <c r="E14">
        <f>WEEKNUM('Diet Plan Log'!$D14)</f>
        <v>34</v>
      </c>
      <c r="F14" t="s">
        <v>39</v>
      </c>
      <c r="G14" s="60">
        <v>0.4375</v>
      </c>
      <c r="H14" t="s">
        <v>68</v>
      </c>
      <c r="I14" s="7">
        <v>80</v>
      </c>
      <c r="J14" s="7">
        <f>_xlfn.XLOOKUP(Table9[[#This Row],[Food Item]], Table1[Food Item], Table1[Protein (g)]) * (Table9[[#This Row],[Quantity(g/ml)]]/100)</f>
        <v>0.24</v>
      </c>
      <c r="K14" s="7">
        <f>_xlfn.XLOOKUP(Table9[[#This Row],[Food Item]], Table1[Food Item], Table1[Carbs (g)] ) * (Table9[[#This Row],[Quantity(g/ml)]]/100)</f>
        <v>11.200000000000001</v>
      </c>
      <c r="L14" s="7">
        <f>_xlfn.XLOOKUP(Table9[[#This Row],[Food Item]], Table1[Food Item], Table1[Fats (g)] ) * (Table9[[#This Row],[Quantity(g/ml)]]/100)</f>
        <v>0.16000000000000003</v>
      </c>
      <c r="M14" s="7">
        <f>_xlfn.XLOOKUP(Table9[[#This Row],[Food Item]], Table1[Food Item], Table1[Fiber (g)]) * (Table9[[#This Row],[Quantity(g/ml)]]/100)</f>
        <v>1.6</v>
      </c>
      <c r="N14" s="5">
        <f>_xlfn.XLOOKUP(Table9[[#This Row],[Food Item]], Table1[Food Item], Table1[Calories (kcal)]) * (Table9[[#This Row],[Quantity(g/ml)]]/100)</f>
        <v>41.6</v>
      </c>
      <c r="O14" s="55">
        <v>6</v>
      </c>
      <c r="P14">
        <v>1000</v>
      </c>
      <c r="Q14"/>
    </row>
    <row r="15" spans="4:17">
      <c r="D15" s="40">
        <v>45889</v>
      </c>
      <c r="E15">
        <f>WEEKNUM('Diet Plan Log'!$D15)</f>
        <v>34</v>
      </c>
      <c r="F15" t="s">
        <v>37</v>
      </c>
      <c r="G15" s="60">
        <v>0.5</v>
      </c>
      <c r="H15" t="s">
        <v>64</v>
      </c>
      <c r="I15" s="7">
        <v>50</v>
      </c>
      <c r="J15" s="7">
        <f>_xlfn.XLOOKUP(Table9[[#This Row],[Food Item]], Table1[Food Item], Table1[Protein (g)]) * (Table9[[#This Row],[Quantity(g/ml)]]/100)</f>
        <v>1.3</v>
      </c>
      <c r="K15" s="7">
        <f>_xlfn.XLOOKUP(Table9[[#This Row],[Food Item]], Table1[Food Item], Table1[Carbs (g)] ) * (Table9[[#This Row],[Quantity(g/ml)]]/100)</f>
        <v>11.5</v>
      </c>
      <c r="L15" s="7">
        <f>_xlfn.XLOOKUP(Table9[[#This Row],[Food Item]], Table1[Food Item], Table1[Fats (g)] ) * (Table9[[#This Row],[Quantity(g/ml)]]/100)</f>
        <v>0.45</v>
      </c>
      <c r="M15" s="7">
        <f>_xlfn.XLOOKUP(Table9[[#This Row],[Food Item]], Table1[Food Item], Table1[Fiber (g)]) * (Table9[[#This Row],[Quantity(g/ml)]]/100)</f>
        <v>1</v>
      </c>
      <c r="N15" s="5">
        <f>_xlfn.XLOOKUP(Table9[[#This Row],[Food Item]], Table1[Food Item], Table1[Calories (kcal)]) * (Table9[[#This Row],[Quantity(g/ml)]]/100)</f>
        <v>55.5</v>
      </c>
      <c r="O15" s="55">
        <v>5</v>
      </c>
      <c r="P15">
        <v>800</v>
      </c>
      <c r="Q15"/>
    </row>
    <row r="16" spans="4:17">
      <c r="D16" s="40">
        <v>45889</v>
      </c>
      <c r="E16">
        <f>WEEKNUM('Diet Plan Log'!$D16)</f>
        <v>34</v>
      </c>
      <c r="F16" t="s">
        <v>38</v>
      </c>
      <c r="G16" s="60">
        <v>0.75</v>
      </c>
      <c r="H16" t="s">
        <v>56</v>
      </c>
      <c r="I16" s="7">
        <v>75</v>
      </c>
      <c r="J16" s="7">
        <f>_xlfn.XLOOKUP(Table9[[#This Row],[Food Item]], Table1[Food Item], Table1[Protein (g)]) * (Table9[[#This Row],[Quantity(g/ml)]]/100)</f>
        <v>18.75</v>
      </c>
      <c r="K16" s="7">
        <f>_xlfn.XLOOKUP(Table9[[#This Row],[Food Item]], Table1[Food Item], Table1[Carbs (g)] ) * (Table9[[#This Row],[Quantity(g/ml)]]/100)</f>
        <v>0</v>
      </c>
      <c r="L16" s="7">
        <f>_xlfn.XLOOKUP(Table9[[#This Row],[Food Item]], Table1[Food Item], Table1[Fats (g)] ) * (Table9[[#This Row],[Quantity(g/ml)]]/100)</f>
        <v>9.75</v>
      </c>
      <c r="M16" s="7">
        <f>_xlfn.XLOOKUP(Table9[[#This Row],[Food Item]], Table1[Food Item], Table1[Fiber (g)]) * (Table9[[#This Row],[Quantity(g/ml)]]/100)</f>
        <v>0</v>
      </c>
      <c r="N16" s="5">
        <f>_xlfn.XLOOKUP(Table9[[#This Row],[Food Item]], Table1[Food Item], Table1[Calories (kcal)]) * (Table9[[#This Row],[Quantity(g/ml)]]/100)</f>
        <v>156</v>
      </c>
      <c r="O16" s="55">
        <v>7</v>
      </c>
      <c r="P16">
        <v>1500</v>
      </c>
      <c r="Q16"/>
    </row>
    <row r="17" spans="4:17">
      <c r="D17" s="40">
        <v>45890</v>
      </c>
      <c r="E17">
        <f>WEEKNUM('Diet Plan Log'!$D17)</f>
        <v>34</v>
      </c>
      <c r="F17" t="s">
        <v>36</v>
      </c>
      <c r="G17" s="60">
        <v>0.33333333333333331</v>
      </c>
      <c r="H17" t="s">
        <v>59</v>
      </c>
      <c r="I17" s="7">
        <v>150</v>
      </c>
      <c r="J17" s="7">
        <f>_xlfn.XLOOKUP(Table9[[#This Row],[Food Item]], Table1[Food Item], Table1[Protein (g)]) * (Table9[[#This Row],[Quantity(g/ml)]]/100)</f>
        <v>15</v>
      </c>
      <c r="K17" s="7">
        <f>_xlfn.XLOOKUP(Table9[[#This Row],[Food Item]], Table1[Food Item], Table1[Carbs (g)] ) * (Table9[[#This Row],[Quantity(g/ml)]]/100)</f>
        <v>7.5</v>
      </c>
      <c r="L17" s="7">
        <f>_xlfn.XLOOKUP(Table9[[#This Row],[Food Item]], Table1[Food Item], Table1[Fats (g)] ) * (Table9[[#This Row],[Quantity(g/ml)]]/100)</f>
        <v>4.5</v>
      </c>
      <c r="M17" s="7">
        <f>_xlfn.XLOOKUP(Table9[[#This Row],[Food Item]], Table1[Food Item], Table1[Fiber (g)]) * (Table9[[#This Row],[Quantity(g/ml)]]/100)</f>
        <v>0</v>
      </c>
      <c r="N17" s="5">
        <f>_xlfn.XLOOKUP(Table9[[#This Row],[Food Item]], Table1[Food Item], Table1[Calories (kcal)]) * (Table9[[#This Row],[Quantity(g/ml)]]/100)</f>
        <v>120</v>
      </c>
      <c r="O17" s="55">
        <v>5.6428571428571397</v>
      </c>
      <c r="P17">
        <v>1200</v>
      </c>
      <c r="Q17"/>
    </row>
    <row r="18" spans="4:17">
      <c r="D18" s="40">
        <v>45890</v>
      </c>
      <c r="E18">
        <f>WEEKNUM('Diet Plan Log'!$D18)</f>
        <v>34</v>
      </c>
      <c r="F18" t="s">
        <v>37</v>
      </c>
      <c r="G18" s="60">
        <v>0.5</v>
      </c>
      <c r="H18" t="s">
        <v>53</v>
      </c>
      <c r="I18" s="7">
        <v>125</v>
      </c>
      <c r="J18" s="7">
        <f>_xlfn.XLOOKUP(Table9[[#This Row],[Food Item]], Table1[Food Item], Table1[Protein (g)]) * (Table9[[#This Row],[Quantity(g/ml)]]/100)</f>
        <v>38.75</v>
      </c>
      <c r="K18" s="7">
        <f>_xlfn.XLOOKUP(Table9[[#This Row],[Food Item]], Table1[Food Item], Table1[Carbs (g)] ) * (Table9[[#This Row],[Quantity(g/ml)]]/100)</f>
        <v>0</v>
      </c>
      <c r="L18" s="7">
        <f>_xlfn.XLOOKUP(Table9[[#This Row],[Food Item]], Table1[Food Item], Table1[Fats (g)] ) * (Table9[[#This Row],[Quantity(g/ml)]]/100)</f>
        <v>3.75</v>
      </c>
      <c r="M18" s="7">
        <f>_xlfn.XLOOKUP(Table9[[#This Row],[Food Item]], Table1[Food Item], Table1[Fiber (g)]) * (Table9[[#This Row],[Quantity(g/ml)]]/100)</f>
        <v>0</v>
      </c>
      <c r="N18" s="5">
        <f>_xlfn.XLOOKUP(Table9[[#This Row],[Food Item]], Table1[Food Item], Table1[Calories (kcal)]) * (Table9[[#This Row],[Quantity(g/ml)]]/100)</f>
        <v>206.25</v>
      </c>
      <c r="O18" s="55">
        <v>5.3571428571428497</v>
      </c>
      <c r="P18">
        <v>2000</v>
      </c>
      <c r="Q18"/>
    </row>
    <row r="19" spans="4:17">
      <c r="D19" s="40">
        <v>45891</v>
      </c>
      <c r="E19">
        <f>WEEKNUM('Diet Plan Log'!$D19)</f>
        <v>34</v>
      </c>
      <c r="F19" t="s">
        <v>37</v>
      </c>
      <c r="G19" s="60">
        <v>0.5</v>
      </c>
      <c r="H19" t="s">
        <v>74</v>
      </c>
      <c r="I19" s="7">
        <v>125</v>
      </c>
      <c r="J19" s="7">
        <f>_xlfn.XLOOKUP(Table9[[#This Row],[Food Item]], Table1[Food Item], Table1[Protein (g)]) * (Table9[[#This Row],[Quantity(g/ml)]]/100)</f>
        <v>0.75</v>
      </c>
      <c r="K19" s="7">
        <f>_xlfn.XLOOKUP(Table9[[#This Row],[Food Item]], Table1[Food Item], Table1[Carbs (g)] ) * (Table9[[#This Row],[Quantity(g/ml)]]/100)</f>
        <v>5</v>
      </c>
      <c r="L19" s="7">
        <f>_xlfn.XLOOKUP(Table9[[#This Row],[Food Item]], Table1[Food Item], Table1[Fats (g)] ) * (Table9[[#This Row],[Quantity(g/ml)]]/100)</f>
        <v>0.125</v>
      </c>
      <c r="M19" s="7">
        <f>_xlfn.XLOOKUP(Table9[[#This Row],[Food Item]], Table1[Food Item], Table1[Fiber (g)]) * (Table9[[#This Row],[Quantity(g/ml)]]/100)</f>
        <v>0.625</v>
      </c>
      <c r="N19" s="5">
        <f>_xlfn.XLOOKUP(Table9[[#This Row],[Food Item]], Table1[Food Item], Table1[Calories (kcal)]) * (Table9[[#This Row],[Quantity(g/ml)]]/100)</f>
        <v>20</v>
      </c>
      <c r="O19" s="55">
        <v>7</v>
      </c>
      <c r="P19"/>
      <c r="Q19"/>
    </row>
    <row r="20" spans="4:17">
      <c r="D20" s="40">
        <v>45890</v>
      </c>
      <c r="E20">
        <f>WEEKNUM('Diet Plan Log'!$D20)</f>
        <v>34</v>
      </c>
      <c r="F20" t="s">
        <v>38</v>
      </c>
      <c r="G20" s="60">
        <v>0.75</v>
      </c>
      <c r="H20" t="s">
        <v>55</v>
      </c>
      <c r="I20" s="7">
        <v>115</v>
      </c>
      <c r="J20" s="7">
        <f>_xlfn.XLOOKUP(Table9[[#This Row],[Food Item]], Table1[Food Item], Table1[Protein (g)]) * (Table9[[#This Row],[Quantity(g/ml)]]/100)</f>
        <v>29.9</v>
      </c>
      <c r="K20" s="7">
        <f>_xlfn.XLOOKUP(Table9[[#This Row],[Food Item]], Table1[Food Item], Table1[Carbs (g)] ) * (Table9[[#This Row],[Quantity(g/ml)]]/100)</f>
        <v>0</v>
      </c>
      <c r="L20" s="7">
        <f>_xlfn.XLOOKUP(Table9[[#This Row],[Food Item]], Table1[Food Item], Table1[Fats (g)] ) * (Table9[[#This Row],[Quantity(g/ml)]]/100)</f>
        <v>11.5</v>
      </c>
      <c r="M20" s="7">
        <f>_xlfn.XLOOKUP(Table9[[#This Row],[Food Item]], Table1[Food Item], Table1[Fiber (g)]) * (Table9[[#This Row],[Quantity(g/ml)]]/100)</f>
        <v>0</v>
      </c>
      <c r="N20" s="5">
        <f>_xlfn.XLOOKUP(Table9[[#This Row],[Food Item]], Table1[Food Item], Table1[Calories (kcal)]) * (Table9[[#This Row],[Quantity(g/ml)]]/100)</f>
        <v>287.5</v>
      </c>
      <c r="O20" s="55">
        <v>5.0714285714285703</v>
      </c>
      <c r="P20">
        <v>1800</v>
      </c>
      <c r="Q20"/>
    </row>
    <row r="21" spans="4:17">
      <c r="D21" s="40">
        <v>45891</v>
      </c>
      <c r="E21">
        <f>WEEKNUM('Diet Plan Log'!$D21)</f>
        <v>34</v>
      </c>
      <c r="F21" t="s">
        <v>36</v>
      </c>
      <c r="G21" s="60">
        <v>0.33333333333333331</v>
      </c>
      <c r="H21" t="s">
        <v>57</v>
      </c>
      <c r="I21" s="7">
        <v>85</v>
      </c>
      <c r="J21" s="7">
        <f>_xlfn.XLOOKUP(Table9[[#This Row],[Food Item]], Table1[Food Item], Table1[Protein (g)]) * (Table9[[#This Row],[Quantity(g/ml)]]/100)</f>
        <v>11.049999999999999</v>
      </c>
      <c r="K21" s="7">
        <f>_xlfn.XLOOKUP(Table9[[#This Row],[Food Item]], Table1[Food Item], Table1[Carbs (g)] ) * (Table9[[#This Row],[Quantity(g/ml)]]/100)</f>
        <v>0.85</v>
      </c>
      <c r="L21" s="7">
        <f>_xlfn.XLOOKUP(Table9[[#This Row],[Food Item]], Table1[Food Item], Table1[Fats (g)] ) * (Table9[[#This Row],[Quantity(g/ml)]]/100)</f>
        <v>9.35</v>
      </c>
      <c r="M21" s="7">
        <f>_xlfn.XLOOKUP(Table9[[#This Row],[Food Item]], Table1[Food Item], Table1[Fiber (g)]) * (Table9[[#This Row],[Quantity(g/ml)]]/100)</f>
        <v>0</v>
      </c>
      <c r="N21" s="5">
        <f>_xlfn.XLOOKUP(Table9[[#This Row],[Food Item]], Table1[Food Item], Table1[Calories (kcal)]) * (Table9[[#This Row],[Quantity(g/ml)]]/100)</f>
        <v>131.75</v>
      </c>
      <c r="O21" s="55">
        <v>4.7857142857142803</v>
      </c>
      <c r="P21">
        <v>2100</v>
      </c>
      <c r="Q21"/>
    </row>
    <row r="22" spans="4:17">
      <c r="D22" s="40">
        <v>45891</v>
      </c>
      <c r="E22">
        <f>WEEKNUM('Diet Plan Log'!$D22)</f>
        <v>34</v>
      </c>
      <c r="F22" t="s">
        <v>39</v>
      </c>
      <c r="G22" s="60">
        <v>0.4375</v>
      </c>
      <c r="H22" t="s">
        <v>59</v>
      </c>
      <c r="I22" s="7">
        <v>95</v>
      </c>
      <c r="J22" s="7">
        <f>_xlfn.XLOOKUP(Table9[[#This Row],[Food Item]], Table1[Food Item], Table1[Protein (g)]) * (Table9[[#This Row],[Quantity(g/ml)]]/100)</f>
        <v>9.5</v>
      </c>
      <c r="K22" s="7">
        <f>_xlfn.XLOOKUP(Table9[[#This Row],[Food Item]], Table1[Food Item], Table1[Carbs (g)] ) * (Table9[[#This Row],[Quantity(g/ml)]]/100)</f>
        <v>4.75</v>
      </c>
      <c r="L22" s="7">
        <f>_xlfn.XLOOKUP(Table9[[#This Row],[Food Item]], Table1[Food Item], Table1[Fats (g)] ) * (Table9[[#This Row],[Quantity(g/ml)]]/100)</f>
        <v>2.8499999999999996</v>
      </c>
      <c r="M22" s="7">
        <f>_xlfn.XLOOKUP(Table9[[#This Row],[Food Item]], Table1[Food Item], Table1[Fiber (g)]) * (Table9[[#This Row],[Quantity(g/ml)]]/100)</f>
        <v>0</v>
      </c>
      <c r="N22" s="5">
        <f>_xlfn.XLOOKUP(Table9[[#This Row],[Food Item]], Table1[Food Item], Table1[Calories (kcal)]) * (Table9[[#This Row],[Quantity(g/ml)]]/100)</f>
        <v>76</v>
      </c>
      <c r="O22" s="55">
        <v>8</v>
      </c>
      <c r="P22">
        <v>1000</v>
      </c>
      <c r="Q22"/>
    </row>
    <row r="23" spans="4:17">
      <c r="D23" s="40">
        <v>45892</v>
      </c>
      <c r="E23">
        <f>WEEKNUM('Diet Plan Log'!$D23)</f>
        <v>34</v>
      </c>
      <c r="F23" t="s">
        <v>37</v>
      </c>
      <c r="G23" s="60">
        <v>0.5</v>
      </c>
      <c r="H23" t="s">
        <v>64</v>
      </c>
      <c r="I23" s="7">
        <v>45</v>
      </c>
      <c r="J23" s="7">
        <f>_xlfn.XLOOKUP(Table9[[#This Row],[Food Item]], Table1[Food Item], Table1[Protein (g)]) * (Table9[[#This Row],[Quantity(g/ml)]]/100)</f>
        <v>1.1700000000000002</v>
      </c>
      <c r="K23" s="7">
        <f>_xlfn.XLOOKUP(Table9[[#This Row],[Food Item]], Table1[Food Item], Table1[Carbs (g)] ) * (Table9[[#This Row],[Quantity(g/ml)]]/100)</f>
        <v>10.35</v>
      </c>
      <c r="L23" s="7">
        <f>_xlfn.XLOOKUP(Table9[[#This Row],[Food Item]], Table1[Food Item], Table1[Fats (g)] ) * (Table9[[#This Row],[Quantity(g/ml)]]/100)</f>
        <v>0.40500000000000003</v>
      </c>
      <c r="M23" s="7">
        <f>_xlfn.XLOOKUP(Table9[[#This Row],[Food Item]], Table1[Food Item], Table1[Fiber (g)]) * (Table9[[#This Row],[Quantity(g/ml)]]/100)</f>
        <v>0.9</v>
      </c>
      <c r="N23" s="5">
        <f>_xlfn.XLOOKUP(Table9[[#This Row],[Food Item]], Table1[Food Item], Table1[Calories (kcal)]) * (Table9[[#This Row],[Quantity(g/ml)]]/100)</f>
        <v>49.95</v>
      </c>
      <c r="O23" s="55">
        <v>6.5</v>
      </c>
      <c r="P23"/>
      <c r="Q23"/>
    </row>
    <row r="24" spans="4:17">
      <c r="D24" s="40">
        <v>45891</v>
      </c>
      <c r="E24">
        <f>WEEKNUM('Diet Plan Log'!$D24)</f>
        <v>34</v>
      </c>
      <c r="F24" t="s">
        <v>37</v>
      </c>
      <c r="G24" s="60">
        <v>0.5</v>
      </c>
      <c r="H24" t="s">
        <v>51</v>
      </c>
      <c r="I24" s="7">
        <v>82.196969696969703</v>
      </c>
      <c r="J24" s="7">
        <f>_xlfn.XLOOKUP(Table9[[#This Row],[Food Item]], Table1[Food Item], Table1[Protein (g)]) * (Table9[[#This Row],[Quantity(g/ml)]]/100)</f>
        <v>7.3977272727272734</v>
      </c>
      <c r="K24" s="7">
        <f>_xlfn.XLOOKUP(Table9[[#This Row],[Food Item]], Table1[Food Item], Table1[Carbs (g)] ) * (Table9[[#This Row],[Quantity(g/ml)]]/100)</f>
        <v>16.439393939393941</v>
      </c>
      <c r="L24" s="7">
        <f>_xlfn.XLOOKUP(Table9[[#This Row],[Food Item]], Table1[Food Item], Table1[Fats (g)] ) * (Table9[[#This Row],[Quantity(g/ml)]]/100)</f>
        <v>0.32878787878787885</v>
      </c>
      <c r="M24" s="7">
        <f>_xlfn.XLOOKUP(Table9[[#This Row],[Food Item]], Table1[Food Item], Table1[Fiber (g)]) * (Table9[[#This Row],[Quantity(g/ml)]]/100)</f>
        <v>6.5757575757575761</v>
      </c>
      <c r="N24" s="5">
        <f>_xlfn.XLOOKUP(Table9[[#This Row],[Food Item]], Table1[Food Item], Table1[Calories (kcal)]) * (Table9[[#This Row],[Quantity(g/ml)]]/100)</f>
        <v>95.348484848484858</v>
      </c>
      <c r="O24" s="55">
        <v>5.5</v>
      </c>
      <c r="P24">
        <v>950</v>
      </c>
      <c r="Q24"/>
    </row>
    <row r="25" spans="4:17">
      <c r="D25" s="40">
        <v>45891</v>
      </c>
      <c r="E25">
        <f>WEEKNUM('Diet Plan Log'!$D25)</f>
        <v>34</v>
      </c>
      <c r="F25" t="s">
        <v>38</v>
      </c>
      <c r="G25" s="60">
        <v>0.75</v>
      </c>
      <c r="H25" t="s">
        <v>64</v>
      </c>
      <c r="I25" s="7">
        <v>77.214452214452194</v>
      </c>
      <c r="J25" s="7">
        <f>_xlfn.XLOOKUP(Table9[[#This Row],[Food Item]], Table1[Food Item], Table1[Protein (g)]) * (Table9[[#This Row],[Quantity(g/ml)]]/100)</f>
        <v>2.0075757575757569</v>
      </c>
      <c r="K25" s="7">
        <f>_xlfn.XLOOKUP(Table9[[#This Row],[Food Item]], Table1[Food Item], Table1[Carbs (g)] ) * (Table9[[#This Row],[Quantity(g/ml)]]/100)</f>
        <v>17.759324009324004</v>
      </c>
      <c r="L25" s="7">
        <f>_xlfn.XLOOKUP(Table9[[#This Row],[Food Item]], Table1[Food Item], Table1[Fats (g)] ) * (Table9[[#This Row],[Quantity(g/ml)]]/100)</f>
        <v>0.69493006993006967</v>
      </c>
      <c r="M25" s="7">
        <f>_xlfn.XLOOKUP(Table9[[#This Row],[Food Item]], Table1[Food Item], Table1[Fiber (g)]) * (Table9[[#This Row],[Quantity(g/ml)]]/100)</f>
        <v>1.5442890442890438</v>
      </c>
      <c r="N25" s="5">
        <f>_xlfn.XLOOKUP(Table9[[#This Row],[Food Item]], Table1[Food Item], Table1[Calories (kcal)]) * (Table9[[#This Row],[Quantity(g/ml)]]/100)</f>
        <v>85.708041958041932</v>
      </c>
      <c r="O25" s="55">
        <v>8</v>
      </c>
      <c r="P25">
        <v>1500</v>
      </c>
      <c r="Q25"/>
    </row>
    <row r="26" spans="4:17">
      <c r="D26" s="40">
        <v>45892</v>
      </c>
      <c r="E26">
        <f>WEEKNUM('Diet Plan Log'!$D26)</f>
        <v>34</v>
      </c>
      <c r="F26" t="s">
        <v>36</v>
      </c>
      <c r="G26" s="60">
        <v>0.33333333333333331</v>
      </c>
      <c r="H26" t="s">
        <v>66</v>
      </c>
      <c r="I26" s="7">
        <v>72.2319347319347</v>
      </c>
      <c r="J26" s="7">
        <f>_xlfn.XLOOKUP(Table9[[#This Row],[Food Item]], Table1[Food Item], Table1[Protein (g)]) * (Table9[[#This Row],[Quantity(g/ml)]]/100)</f>
        <v>9.3901515151515103</v>
      </c>
      <c r="K26" s="7">
        <f>_xlfn.XLOOKUP(Table9[[#This Row],[Food Item]], Table1[Food Item], Table1[Carbs (g)] ) * (Table9[[#This Row],[Quantity(g/ml)]]/100)</f>
        <v>35.393648018648001</v>
      </c>
      <c r="L26" s="7">
        <f>_xlfn.XLOOKUP(Table9[[#This Row],[Food Item]], Table1[Food Item], Table1[Fats (g)] ) * (Table9[[#This Row],[Quantity(g/ml)]]/100)</f>
        <v>2.889277389277388</v>
      </c>
      <c r="M26" s="7">
        <f>_xlfn.XLOOKUP(Table9[[#This Row],[Food Item]], Table1[Food Item], Table1[Fiber (g)]) * (Table9[[#This Row],[Quantity(g/ml)]]/100)</f>
        <v>5.0562354312354287</v>
      </c>
      <c r="N26" s="5">
        <f>_xlfn.XLOOKUP(Table9[[#This Row],[Food Item]], Table1[Food Item], Table1[Calories (kcal)]) * (Table9[[#This Row],[Quantity(g/ml)]]/100)</f>
        <v>178.4128787878787</v>
      </c>
      <c r="O26" s="55">
        <v>3.6428571428571401</v>
      </c>
      <c r="P26">
        <v>1200</v>
      </c>
      <c r="Q26"/>
    </row>
    <row r="27" spans="4:17">
      <c r="D27" s="40">
        <v>45892</v>
      </c>
      <c r="E27">
        <f>WEEKNUM('Diet Plan Log'!$D27)</f>
        <v>34</v>
      </c>
      <c r="F27" t="s">
        <v>37</v>
      </c>
      <c r="G27" s="60">
        <v>0.5</v>
      </c>
      <c r="H27" t="s">
        <v>59</v>
      </c>
      <c r="I27" s="7">
        <v>67.249417249417206</v>
      </c>
      <c r="J27" s="7">
        <f>_xlfn.XLOOKUP(Table9[[#This Row],[Food Item]], Table1[Food Item], Table1[Protein (g)]) * (Table9[[#This Row],[Quantity(g/ml)]]/100)</f>
        <v>6.7249417249417212</v>
      </c>
      <c r="K27" s="7">
        <f>_xlfn.XLOOKUP(Table9[[#This Row],[Food Item]], Table1[Food Item], Table1[Carbs (g)] ) * (Table9[[#This Row],[Quantity(g/ml)]]/100)</f>
        <v>3.3624708624708606</v>
      </c>
      <c r="L27" s="7">
        <f>_xlfn.XLOOKUP(Table9[[#This Row],[Food Item]], Table1[Food Item], Table1[Fats (g)] ) * (Table9[[#This Row],[Quantity(g/ml)]]/100)</f>
        <v>2.0174825174825162</v>
      </c>
      <c r="M27" s="7">
        <f>_xlfn.XLOOKUP(Table9[[#This Row],[Food Item]], Table1[Food Item], Table1[Fiber (g)]) * (Table9[[#This Row],[Quantity(g/ml)]]/100)</f>
        <v>0</v>
      </c>
      <c r="N27" s="5">
        <f>_xlfn.XLOOKUP(Table9[[#This Row],[Food Item]], Table1[Food Item], Table1[Calories (kcal)]) * (Table9[[#This Row],[Quantity(g/ml)]]/100)</f>
        <v>53.799533799533769</v>
      </c>
      <c r="O27" s="55">
        <v>8.5</v>
      </c>
      <c r="P27">
        <v>2000</v>
      </c>
      <c r="Q27"/>
    </row>
    <row r="28" spans="4:17">
      <c r="D28" s="40">
        <v>45892</v>
      </c>
      <c r="E28">
        <f>WEEKNUM('Diet Plan Log'!$D28)</f>
        <v>34</v>
      </c>
      <c r="F28" t="s">
        <v>38</v>
      </c>
      <c r="G28" s="60">
        <v>0.75</v>
      </c>
      <c r="H28" t="s">
        <v>53</v>
      </c>
      <c r="I28" s="7">
        <v>62.266899766899797</v>
      </c>
      <c r="J28" s="7">
        <f>_xlfn.XLOOKUP(Table9[[#This Row],[Food Item]], Table1[Food Item], Table1[Protein (g)]) * (Table9[[#This Row],[Quantity(g/ml)]]/100)</f>
        <v>19.302738927738936</v>
      </c>
      <c r="K28" s="7">
        <f>_xlfn.XLOOKUP(Table9[[#This Row],[Food Item]], Table1[Food Item], Table1[Carbs (g)] ) * (Table9[[#This Row],[Quantity(g/ml)]]/100)</f>
        <v>0</v>
      </c>
      <c r="L28" s="7">
        <f>_xlfn.XLOOKUP(Table9[[#This Row],[Food Item]], Table1[Food Item], Table1[Fats (g)] ) * (Table9[[#This Row],[Quantity(g/ml)]]/100)</f>
        <v>1.8680069930069938</v>
      </c>
      <c r="M28" s="7">
        <f>_xlfn.XLOOKUP(Table9[[#This Row],[Food Item]], Table1[Food Item], Table1[Fiber (g)]) * (Table9[[#This Row],[Quantity(g/ml)]]/100)</f>
        <v>0</v>
      </c>
      <c r="N28" s="5">
        <f>_xlfn.XLOOKUP(Table9[[#This Row],[Food Item]], Table1[Food Item], Table1[Calories (kcal)]) * (Table9[[#This Row],[Quantity(g/ml)]]/100)</f>
        <v>102.74038461538467</v>
      </c>
      <c r="O28" s="55">
        <v>7</v>
      </c>
      <c r="P28">
        <v>1800</v>
      </c>
      <c r="Q28"/>
    </row>
    <row r="29" spans="4:17">
      <c r="D29" s="40">
        <v>45893</v>
      </c>
      <c r="E29">
        <f>WEEKNUM('Diet Plan Log'!$D29)</f>
        <v>35</v>
      </c>
      <c r="F29" t="s">
        <v>38</v>
      </c>
      <c r="G29" s="60">
        <v>0.75</v>
      </c>
      <c r="H29" t="s">
        <v>72</v>
      </c>
      <c r="I29" s="7">
        <v>10</v>
      </c>
      <c r="J29" s="7">
        <f>_xlfn.XLOOKUP(Table9[[#This Row],[Food Item]], Table1[Food Item], Table1[Protein (g)]) * (Table9[[#This Row],[Quantity(g/ml)]]/100)</f>
        <v>9.0000000000000011E-2</v>
      </c>
      <c r="K29" s="7">
        <f>_xlfn.XLOOKUP(Table9[[#This Row],[Food Item]], Table1[Food Item], Table1[Carbs (g)] ) * (Table9[[#This Row],[Quantity(g/ml)]]/100)</f>
        <v>1</v>
      </c>
      <c r="L29" s="7">
        <f>_xlfn.XLOOKUP(Table9[[#This Row],[Food Item]], Table1[Food Item], Table1[Fats (g)] ) * (Table9[[#This Row],[Quantity(g/ml)]]/100)</f>
        <v>2.0000000000000004E-2</v>
      </c>
      <c r="M29" s="7">
        <f>_xlfn.XLOOKUP(Table9[[#This Row],[Food Item]], Table1[Food Item], Table1[Fiber (g)]) * (Table9[[#This Row],[Quantity(g/ml)]]/100)</f>
        <v>0.30000000000000004</v>
      </c>
      <c r="N29" s="5">
        <f>_xlfn.XLOOKUP(Table9[[#This Row],[Food Item]], Table1[Food Item], Table1[Calories (kcal)]) * (Table9[[#This Row],[Quantity(g/ml)]]/100)</f>
        <v>4.1000000000000005</v>
      </c>
      <c r="O29" s="55">
        <v>5</v>
      </c>
      <c r="P29"/>
      <c r="Q29"/>
    </row>
    <row r="30" spans="4:17">
      <c r="D30" s="40">
        <v>45893</v>
      </c>
      <c r="E30">
        <f>WEEKNUM('Diet Plan Log'!$D30)</f>
        <v>35</v>
      </c>
      <c r="F30" t="s">
        <v>36</v>
      </c>
      <c r="G30" s="60">
        <v>0.33333333333333331</v>
      </c>
      <c r="H30" t="s">
        <v>55</v>
      </c>
      <c r="I30" s="7">
        <v>57.284382284382303</v>
      </c>
      <c r="J30" s="7">
        <f>_xlfn.XLOOKUP(Table9[[#This Row],[Food Item]], Table1[Food Item], Table1[Protein (g)]) * (Table9[[#This Row],[Quantity(g/ml)]]/100)</f>
        <v>14.8939393939394</v>
      </c>
      <c r="K30" s="7">
        <f>_xlfn.XLOOKUP(Table9[[#This Row],[Food Item]], Table1[Food Item], Table1[Carbs (g)] ) * (Table9[[#This Row],[Quantity(g/ml)]]/100)</f>
        <v>0</v>
      </c>
      <c r="L30" s="7">
        <f>_xlfn.XLOOKUP(Table9[[#This Row],[Food Item]], Table1[Food Item], Table1[Fats (g)] ) * (Table9[[#This Row],[Quantity(g/ml)]]/100)</f>
        <v>5.7284382284382307</v>
      </c>
      <c r="M30" s="7">
        <f>_xlfn.XLOOKUP(Table9[[#This Row],[Food Item]], Table1[Food Item], Table1[Fiber (g)]) * (Table9[[#This Row],[Quantity(g/ml)]]/100)</f>
        <v>0</v>
      </c>
      <c r="N30" s="5">
        <f>_xlfn.XLOOKUP(Table9[[#This Row],[Food Item]], Table1[Food Item], Table1[Calories (kcal)]) * (Table9[[#This Row],[Quantity(g/ml)]]/100)</f>
        <v>143.21095571095577</v>
      </c>
      <c r="O30" s="55">
        <v>9</v>
      </c>
      <c r="P30">
        <v>2100</v>
      </c>
      <c r="Q30"/>
    </row>
    <row r="31" spans="4:17">
      <c r="D31" s="40">
        <v>45893</v>
      </c>
      <c r="E31">
        <f>WEEKNUM('Diet Plan Log'!$D31)</f>
        <v>35</v>
      </c>
      <c r="F31" t="s">
        <v>39</v>
      </c>
      <c r="G31" s="60">
        <v>0.4375</v>
      </c>
      <c r="H31" t="s">
        <v>74</v>
      </c>
      <c r="I31" s="7">
        <v>52.301864801864802</v>
      </c>
      <c r="J31" s="7">
        <f>_xlfn.XLOOKUP(Table9[[#This Row],[Food Item]], Table1[Food Item], Table1[Protein (g)]) * (Table9[[#This Row],[Quantity(g/ml)]]/100)</f>
        <v>0.3138111888111888</v>
      </c>
      <c r="K31" s="7">
        <f>_xlfn.XLOOKUP(Table9[[#This Row],[Food Item]], Table1[Food Item], Table1[Carbs (g)] ) * (Table9[[#This Row],[Quantity(g/ml)]]/100)</f>
        <v>2.0920745920745922</v>
      </c>
      <c r="L31" s="7">
        <f>_xlfn.XLOOKUP(Table9[[#This Row],[Food Item]], Table1[Food Item], Table1[Fats (g)] ) * (Table9[[#This Row],[Quantity(g/ml)]]/100)</f>
        <v>5.2301864801864807E-2</v>
      </c>
      <c r="M31" s="7">
        <f>_xlfn.XLOOKUP(Table9[[#This Row],[Food Item]], Table1[Food Item], Table1[Fiber (g)]) * (Table9[[#This Row],[Quantity(g/ml)]]/100)</f>
        <v>0.26150932400932403</v>
      </c>
      <c r="N31" s="5">
        <f>_xlfn.XLOOKUP(Table9[[#This Row],[Food Item]], Table1[Food Item], Table1[Calories (kcal)]) * (Table9[[#This Row],[Quantity(g/ml)]]/100)</f>
        <v>8.3682983682983689</v>
      </c>
      <c r="O31" s="55">
        <v>5</v>
      </c>
      <c r="P31">
        <v>1000</v>
      </c>
      <c r="Q31"/>
    </row>
    <row r="32" spans="4:17">
      <c r="D32" s="40">
        <v>45893</v>
      </c>
      <c r="E32">
        <f>WEEKNUM('Diet Plan Log'!$D32)</f>
        <v>35</v>
      </c>
      <c r="F32" t="s">
        <v>37</v>
      </c>
      <c r="G32" s="60">
        <v>0.5</v>
      </c>
      <c r="H32" t="s">
        <v>59</v>
      </c>
      <c r="I32" s="7">
        <v>47.319347319347301</v>
      </c>
      <c r="J32" s="7">
        <f>_xlfn.XLOOKUP(Table9[[#This Row],[Food Item]], Table1[Food Item], Table1[Protein (g)]) * (Table9[[#This Row],[Quantity(g/ml)]]/100)</f>
        <v>4.7319347319347296</v>
      </c>
      <c r="K32" s="7">
        <f>_xlfn.XLOOKUP(Table9[[#This Row],[Food Item]], Table1[Food Item], Table1[Carbs (g)] ) * (Table9[[#This Row],[Quantity(g/ml)]]/100)</f>
        <v>2.3659673659673648</v>
      </c>
      <c r="L32" s="7">
        <f>_xlfn.XLOOKUP(Table9[[#This Row],[Food Item]], Table1[Food Item], Table1[Fats (g)] ) * (Table9[[#This Row],[Quantity(g/ml)]]/100)</f>
        <v>1.4195804195804189</v>
      </c>
      <c r="M32" s="7">
        <f>_xlfn.XLOOKUP(Table9[[#This Row],[Food Item]], Table1[Food Item], Table1[Fiber (g)]) * (Table9[[#This Row],[Quantity(g/ml)]]/100)</f>
        <v>0</v>
      </c>
      <c r="N32" s="5">
        <f>_xlfn.XLOOKUP(Table9[[#This Row],[Food Item]], Table1[Food Item], Table1[Calories (kcal)]) * (Table9[[#This Row],[Quantity(g/ml)]]/100)</f>
        <v>37.855477855477837</v>
      </c>
      <c r="O32" s="55">
        <v>8</v>
      </c>
      <c r="P32">
        <v>2000</v>
      </c>
      <c r="Q32"/>
    </row>
    <row r="33" spans="4:17">
      <c r="D33" s="40">
        <v>45893</v>
      </c>
      <c r="E33">
        <f>WEEKNUM('Diet Plan Log'!$D33)</f>
        <v>35</v>
      </c>
      <c r="F33" t="s">
        <v>38</v>
      </c>
      <c r="G33" s="60">
        <v>0.75</v>
      </c>
      <c r="H33" t="s">
        <v>51</v>
      </c>
      <c r="I33" s="7">
        <v>42.3368298368298</v>
      </c>
      <c r="J33" s="7">
        <f>_xlfn.XLOOKUP(Table9[[#This Row],[Food Item]], Table1[Food Item], Table1[Protein (g)]) * (Table9[[#This Row],[Quantity(g/ml)]]/100)</f>
        <v>3.8103146853146819</v>
      </c>
      <c r="K33" s="7">
        <f>_xlfn.XLOOKUP(Table9[[#This Row],[Food Item]], Table1[Food Item], Table1[Carbs (g)] ) * (Table9[[#This Row],[Quantity(g/ml)]]/100)</f>
        <v>8.4673659673659589</v>
      </c>
      <c r="L33" s="7">
        <f>_xlfn.XLOOKUP(Table9[[#This Row],[Food Item]], Table1[Food Item], Table1[Fats (g)] ) * (Table9[[#This Row],[Quantity(g/ml)]]/100)</f>
        <v>0.1693473193473192</v>
      </c>
      <c r="M33" s="7">
        <f>_xlfn.XLOOKUP(Table9[[#This Row],[Food Item]], Table1[Food Item], Table1[Fiber (g)]) * (Table9[[#This Row],[Quantity(g/ml)]]/100)</f>
        <v>3.3869463869463838</v>
      </c>
      <c r="N33" s="5">
        <f>_xlfn.XLOOKUP(Table9[[#This Row],[Food Item]], Table1[Food Item], Table1[Calories (kcal)]) * (Table9[[#This Row],[Quantity(g/ml)]]/100)</f>
        <v>49.110722610722569</v>
      </c>
      <c r="O33" s="55">
        <v>8</v>
      </c>
      <c r="P33">
        <v>1500</v>
      </c>
      <c r="Q33"/>
    </row>
    <row r="34" spans="4:17">
      <c r="D34" s="40">
        <v>45894</v>
      </c>
      <c r="E34">
        <f>WEEKNUM('Diet Plan Log'!$D34)</f>
        <v>35</v>
      </c>
      <c r="F34" t="s">
        <v>38</v>
      </c>
      <c r="G34" s="60">
        <v>0.75</v>
      </c>
      <c r="H34" t="s">
        <v>55</v>
      </c>
      <c r="I34" s="7">
        <v>100</v>
      </c>
      <c r="J34" s="7">
        <f>_xlfn.XLOOKUP(Table9[[#This Row],[Food Item]], Table1[Food Item], Table1[Protein (g)]) * (Table9[[#This Row],[Quantity(g/ml)]]/100)</f>
        <v>26</v>
      </c>
      <c r="K34" s="7">
        <f>_xlfn.XLOOKUP(Table9[[#This Row],[Food Item]], Table1[Food Item], Table1[Carbs (g)] ) * (Table9[[#This Row],[Quantity(g/ml)]]/100)</f>
        <v>0</v>
      </c>
      <c r="L34" s="7">
        <f>_xlfn.XLOOKUP(Table9[[#This Row],[Food Item]], Table1[Food Item], Table1[Fats (g)] ) * (Table9[[#This Row],[Quantity(g/ml)]]/100)</f>
        <v>10</v>
      </c>
      <c r="M34" s="7">
        <f>_xlfn.XLOOKUP(Table9[[#This Row],[Food Item]], Table1[Food Item], Table1[Fiber (g)]) * (Table9[[#This Row],[Quantity(g/ml)]]/100)</f>
        <v>0</v>
      </c>
      <c r="N34" s="5">
        <f>_xlfn.XLOOKUP(Table9[[#This Row],[Food Item]], Table1[Food Item], Table1[Calories (kcal)]) * (Table9[[#This Row],[Quantity(g/ml)]]/100)</f>
        <v>250</v>
      </c>
      <c r="O34" s="55">
        <v>7</v>
      </c>
      <c r="P34"/>
      <c r="Q34"/>
    </row>
    <row r="35" spans="4:17">
      <c r="D35" s="40">
        <v>45894</v>
      </c>
      <c r="E35">
        <f>WEEKNUM('Diet Plan Log'!$D35)</f>
        <v>35</v>
      </c>
      <c r="F35" t="s">
        <v>36</v>
      </c>
      <c r="G35" s="60">
        <v>0.33333333333333331</v>
      </c>
      <c r="H35" t="s">
        <v>64</v>
      </c>
      <c r="I35" s="7">
        <v>37.354312354312498</v>
      </c>
      <c r="J35" s="7">
        <f>_xlfn.XLOOKUP(Table9[[#This Row],[Food Item]], Table1[Food Item], Table1[Protein (g)]) * (Table9[[#This Row],[Quantity(g/ml)]]/100)</f>
        <v>0.97121212121212497</v>
      </c>
      <c r="K35" s="7">
        <f>_xlfn.XLOOKUP(Table9[[#This Row],[Food Item]], Table1[Food Item], Table1[Carbs (g)] ) * (Table9[[#This Row],[Quantity(g/ml)]]/100)</f>
        <v>8.5914918414918748</v>
      </c>
      <c r="L35" s="7">
        <f>_xlfn.XLOOKUP(Table9[[#This Row],[Food Item]], Table1[Food Item], Table1[Fats (g)] ) * (Table9[[#This Row],[Quantity(g/ml)]]/100)</f>
        <v>0.3361888111888125</v>
      </c>
      <c r="M35" s="7">
        <f>_xlfn.XLOOKUP(Table9[[#This Row],[Food Item]], Table1[Food Item], Table1[Fiber (g)]) * (Table9[[#This Row],[Quantity(g/ml)]]/100)</f>
        <v>0.74708624708624993</v>
      </c>
      <c r="N35" s="5">
        <f>_xlfn.XLOOKUP(Table9[[#This Row],[Food Item]], Table1[Food Item], Table1[Calories (kcal)]) * (Table9[[#This Row],[Quantity(g/ml)]]/100)</f>
        <v>41.46328671328687</v>
      </c>
      <c r="O35" s="55">
        <v>6</v>
      </c>
      <c r="P35">
        <v>1200</v>
      </c>
      <c r="Q35"/>
    </row>
    <row r="36" spans="4:17">
      <c r="D36" s="40">
        <v>45894</v>
      </c>
      <c r="E36">
        <f>WEEKNUM('Diet Plan Log'!$D36)</f>
        <v>35</v>
      </c>
      <c r="F36" t="s">
        <v>37</v>
      </c>
      <c r="G36" s="60">
        <v>0.5</v>
      </c>
      <c r="H36" t="s">
        <v>56</v>
      </c>
      <c r="I36" s="7">
        <v>32.371794871794499</v>
      </c>
      <c r="J36" s="7">
        <f>_xlfn.XLOOKUP(Table9[[#This Row],[Food Item]], Table1[Food Item], Table1[Protein (g)]) * (Table9[[#This Row],[Quantity(g/ml)]]/100)</f>
        <v>8.0929487179486248</v>
      </c>
      <c r="K36" s="7">
        <f>_xlfn.XLOOKUP(Table9[[#This Row],[Food Item]], Table1[Food Item], Table1[Carbs (g)] ) * (Table9[[#This Row],[Quantity(g/ml)]]/100)</f>
        <v>0</v>
      </c>
      <c r="L36" s="7">
        <f>_xlfn.XLOOKUP(Table9[[#This Row],[Food Item]], Table1[Food Item], Table1[Fats (g)] ) * (Table9[[#This Row],[Quantity(g/ml)]]/100)</f>
        <v>4.2083333333332851</v>
      </c>
      <c r="M36" s="7">
        <f>_xlfn.XLOOKUP(Table9[[#This Row],[Food Item]], Table1[Food Item], Table1[Fiber (g)]) * (Table9[[#This Row],[Quantity(g/ml)]]/100)</f>
        <v>0</v>
      </c>
      <c r="N36" s="5">
        <f>_xlfn.XLOOKUP(Table9[[#This Row],[Food Item]], Table1[Food Item], Table1[Calories (kcal)]) * (Table9[[#This Row],[Quantity(g/ml)]]/100)</f>
        <v>67.333333333332561</v>
      </c>
      <c r="O36" s="55">
        <v>10</v>
      </c>
      <c r="P36">
        <v>1000</v>
      </c>
      <c r="Q36"/>
    </row>
    <row r="37" spans="4:17">
      <c r="D37" s="40">
        <v>45894</v>
      </c>
      <c r="E37">
        <f>WEEKNUM('Diet Plan Log'!$D37)</f>
        <v>35</v>
      </c>
      <c r="F37" t="s">
        <v>38</v>
      </c>
      <c r="G37" s="60">
        <v>0.75</v>
      </c>
      <c r="H37" t="s">
        <v>59</v>
      </c>
      <c r="I37" s="7">
        <v>27.389277389277499</v>
      </c>
      <c r="J37" s="7">
        <f>_xlfn.XLOOKUP(Table9[[#This Row],[Food Item]], Table1[Food Item], Table1[Protein (g)]) * (Table9[[#This Row],[Quantity(g/ml)]]/100)</f>
        <v>2.73892773892775</v>
      </c>
      <c r="K37" s="7">
        <f>_xlfn.XLOOKUP(Table9[[#This Row],[Food Item]], Table1[Food Item], Table1[Carbs (g)] ) * (Table9[[#This Row],[Quantity(g/ml)]]/100)</f>
        <v>1.369463869463875</v>
      </c>
      <c r="L37" s="7">
        <f>_xlfn.XLOOKUP(Table9[[#This Row],[Food Item]], Table1[Food Item], Table1[Fats (g)] ) * (Table9[[#This Row],[Quantity(g/ml)]]/100)</f>
        <v>0.821678321678325</v>
      </c>
      <c r="M37" s="7">
        <f>_xlfn.XLOOKUP(Table9[[#This Row],[Food Item]], Table1[Food Item], Table1[Fiber (g)]) * (Table9[[#This Row],[Quantity(g/ml)]]/100)</f>
        <v>0</v>
      </c>
      <c r="N37" s="5">
        <f>_xlfn.XLOOKUP(Table9[[#This Row],[Food Item]], Table1[Food Item], Table1[Calories (kcal)]) * (Table9[[#This Row],[Quantity(g/ml)]]/100)</f>
        <v>21.911421911422</v>
      </c>
      <c r="O37" s="55">
        <v>7</v>
      </c>
      <c r="P37">
        <v>2900</v>
      </c>
      <c r="Q37"/>
    </row>
    <row r="38" spans="4:17">
      <c r="D38" s="40">
        <v>45895</v>
      </c>
      <c r="E38">
        <f>WEEKNUM('Diet Plan Log'!$D38)</f>
        <v>35</v>
      </c>
      <c r="F38" t="s">
        <v>36</v>
      </c>
      <c r="G38" s="60">
        <v>0.33333333333333331</v>
      </c>
      <c r="H38" t="s">
        <v>67</v>
      </c>
      <c r="I38" s="7">
        <v>20</v>
      </c>
      <c r="J38" s="7">
        <f>_xlfn.XLOOKUP(Table9[[#This Row],[Food Item]], Table1[Food Item], Table1[Protein (g)]) * (Table9[[#This Row],[Quantity(g/ml)]]/100)</f>
        <v>3.4000000000000004</v>
      </c>
      <c r="K38" s="7">
        <f>_xlfn.XLOOKUP(Table9[[#This Row],[Food Item]], Table1[Food Item], Table1[Carbs (g)] ) * (Table9[[#This Row],[Quantity(g/ml)]]/100)</f>
        <v>13.200000000000001</v>
      </c>
      <c r="L38" s="7">
        <f>_xlfn.XLOOKUP(Table9[[#This Row],[Food Item]], Table1[Food Item], Table1[Fats (g)] ) * (Table9[[#This Row],[Quantity(g/ml)]]/100)</f>
        <v>1.4000000000000001</v>
      </c>
      <c r="M38" s="7">
        <f>_xlfn.XLOOKUP(Table9[[#This Row],[Food Item]], Table1[Food Item], Table1[Fiber (g)]) * (Table9[[#This Row],[Quantity(g/ml)]]/100)</f>
        <v>2</v>
      </c>
      <c r="N38" s="5">
        <f>_xlfn.XLOOKUP(Table9[[#This Row],[Food Item]], Table1[Food Item], Table1[Calories (kcal)]) * (Table9[[#This Row],[Quantity(g/ml)]]/100)</f>
        <v>77.800000000000011</v>
      </c>
      <c r="O38" s="55">
        <v>8</v>
      </c>
      <c r="P38"/>
      <c r="Q38"/>
    </row>
    <row r="39" spans="4:17">
      <c r="D39" s="40">
        <v>45895</v>
      </c>
      <c r="E39">
        <f>WEEKNUM('Diet Plan Log'!$D39)</f>
        <v>35</v>
      </c>
      <c r="F39" t="s">
        <v>37</v>
      </c>
      <c r="G39" s="60">
        <v>0.33333333333333331</v>
      </c>
      <c r="H39" t="s">
        <v>57</v>
      </c>
      <c r="I39" s="7">
        <v>22.4067599067595</v>
      </c>
      <c r="J39" s="7">
        <f>_xlfn.XLOOKUP(Table9[[#This Row],[Food Item]], Table1[Food Item], Table1[Protein (g)]) * (Table9[[#This Row],[Quantity(g/ml)]]/100)</f>
        <v>2.9128787878787348</v>
      </c>
      <c r="K39" s="7">
        <f>_xlfn.XLOOKUP(Table9[[#This Row],[Food Item]], Table1[Food Item], Table1[Carbs (g)] ) * (Table9[[#This Row],[Quantity(g/ml)]]/100)</f>
        <v>0.22406759906759499</v>
      </c>
      <c r="L39" s="7">
        <f>_xlfn.XLOOKUP(Table9[[#This Row],[Food Item]], Table1[Food Item], Table1[Fats (g)] ) * (Table9[[#This Row],[Quantity(g/ml)]]/100)</f>
        <v>2.464743589743545</v>
      </c>
      <c r="M39" s="7">
        <f>_xlfn.XLOOKUP(Table9[[#This Row],[Food Item]], Table1[Food Item], Table1[Fiber (g)]) * (Table9[[#This Row],[Quantity(g/ml)]]/100)</f>
        <v>0</v>
      </c>
      <c r="N39" s="5">
        <f>_xlfn.XLOOKUP(Table9[[#This Row],[Food Item]], Table1[Food Item], Table1[Calories (kcal)]) * (Table9[[#This Row],[Quantity(g/ml)]]/100)</f>
        <v>34.730477855477226</v>
      </c>
      <c r="O39" s="55">
        <v>8.5</v>
      </c>
      <c r="P39">
        <v>2100</v>
      </c>
      <c r="Q39"/>
    </row>
    <row r="40" spans="4:17">
      <c r="D40" s="40">
        <v>45895</v>
      </c>
      <c r="E40">
        <f>WEEKNUM('Diet Plan Log'!$D40)</f>
        <v>35</v>
      </c>
      <c r="F40" t="s">
        <v>39</v>
      </c>
      <c r="G40" s="60">
        <v>0.4375</v>
      </c>
      <c r="H40" t="s">
        <v>76</v>
      </c>
      <c r="I40" s="7">
        <v>17.4242424242425</v>
      </c>
      <c r="J40" s="7">
        <f>_xlfn.XLOOKUP(Table9[[#This Row],[Food Item]], Table1[Food Item], Table1[Protein (g)]) * (Table9[[#This Row],[Quantity(g/ml)]]/100)</f>
        <v>0.48787878787878997</v>
      </c>
      <c r="K40" s="7">
        <f>_xlfn.XLOOKUP(Table9[[#This Row],[Food Item]], Table1[Food Item], Table1[Carbs (g)] ) * (Table9[[#This Row],[Quantity(g/ml)]]/100)</f>
        <v>1.2196969696969751</v>
      </c>
      <c r="L40" s="7">
        <f>_xlfn.XLOOKUP(Table9[[#This Row],[Food Item]], Table1[Food Item], Table1[Fats (g)] ) * (Table9[[#This Row],[Quantity(g/ml)]]/100)</f>
        <v>6.9696969696970007E-2</v>
      </c>
      <c r="M40" s="7">
        <f>_xlfn.XLOOKUP(Table9[[#This Row],[Food Item]], Table1[Food Item], Table1[Fiber (g)]) * (Table9[[#This Row],[Quantity(g/ml)]]/100)</f>
        <v>0.453030303030305</v>
      </c>
      <c r="N40" s="5">
        <f>_xlfn.XLOOKUP(Table9[[#This Row],[Food Item]], Table1[Food Item], Table1[Calories (kcal)]) * (Table9[[#This Row],[Quantity(g/ml)]]/100)</f>
        <v>6.0984848484848753</v>
      </c>
      <c r="O40" s="55">
        <v>8</v>
      </c>
      <c r="P40">
        <v>1000</v>
      </c>
      <c r="Q40"/>
    </row>
    <row r="41" spans="4:17">
      <c r="D41" s="40">
        <v>45895</v>
      </c>
      <c r="E41">
        <f>WEEKNUM('Diet Plan Log'!$D41)</f>
        <v>35</v>
      </c>
      <c r="F41" t="s">
        <v>38</v>
      </c>
      <c r="G41" s="60">
        <v>0.5</v>
      </c>
      <c r="H41" t="s">
        <v>63</v>
      </c>
      <c r="I41" s="7">
        <v>12.4417249417245</v>
      </c>
      <c r="J41" s="7">
        <f>_xlfn.XLOOKUP(Table9[[#This Row],[Food Item]], Table1[Food Item], Table1[Protein (g)]) * (Table9[[#This Row],[Quantity(g/ml)]]/100)</f>
        <v>1.119755244755205</v>
      </c>
      <c r="K41" s="7">
        <f>_xlfn.XLOOKUP(Table9[[#This Row],[Food Item]], Table1[Food Item], Table1[Carbs (g)] ) * (Table9[[#This Row],[Quantity(g/ml)]]/100)</f>
        <v>3.3592657342656147</v>
      </c>
      <c r="L41" s="7">
        <f>_xlfn.XLOOKUP(Table9[[#This Row],[Food Item]], Table1[Food Item], Table1[Fats (g)] ) * (Table9[[#This Row],[Quantity(g/ml)]]/100)</f>
        <v>0.37325174825173502</v>
      </c>
      <c r="M41" s="7">
        <f>_xlfn.XLOOKUP(Table9[[#This Row],[Food Item]], Table1[Food Item], Table1[Fiber (g)]) * (Table9[[#This Row],[Quantity(g/ml)]]/100)</f>
        <v>0.99533799533795997</v>
      </c>
      <c r="N41" s="5">
        <f>_xlfn.XLOOKUP(Table9[[#This Row],[Food Item]], Table1[Food Item], Table1[Calories (kcal)]) * (Table9[[#This Row],[Quantity(g/ml)]]/100)</f>
        <v>20.40442890442818</v>
      </c>
      <c r="O41" s="55">
        <v>9</v>
      </c>
      <c r="P41">
        <v>800</v>
      </c>
      <c r="Q41"/>
    </row>
    <row r="42" spans="4:17">
      <c r="D42" s="40">
        <v>45896</v>
      </c>
      <c r="E42">
        <f>WEEKNUM('Diet Plan Log'!$D42)</f>
        <v>35</v>
      </c>
      <c r="F42" t="s">
        <v>36</v>
      </c>
      <c r="G42" s="60">
        <v>0.33333333333333331</v>
      </c>
      <c r="H42" t="s">
        <v>59</v>
      </c>
      <c r="I42" s="7">
        <v>50</v>
      </c>
      <c r="J42" s="7">
        <f>_xlfn.XLOOKUP(Table9[[#This Row],[Food Item]], Table1[Food Item], Table1[Protein (g)]) * (Table9[[#This Row],[Quantity(g/ml)]]/100)</f>
        <v>5</v>
      </c>
      <c r="K42" s="7">
        <f>_xlfn.XLOOKUP(Table9[[#This Row],[Food Item]], Table1[Food Item], Table1[Carbs (g)] ) * (Table9[[#This Row],[Quantity(g/ml)]]/100)</f>
        <v>2.5</v>
      </c>
      <c r="L42" s="7">
        <f>_xlfn.XLOOKUP(Table9[[#This Row],[Food Item]], Table1[Food Item], Table1[Fats (g)] ) * (Table9[[#This Row],[Quantity(g/ml)]]/100)</f>
        <v>1.5</v>
      </c>
      <c r="M42" s="7">
        <f>_xlfn.XLOOKUP(Table9[[#This Row],[Food Item]], Table1[Food Item], Table1[Fiber (g)]) * (Table9[[#This Row],[Quantity(g/ml)]]/100)</f>
        <v>0</v>
      </c>
      <c r="N42" s="5">
        <f>_xlfn.XLOOKUP(Table9[[#This Row],[Food Item]], Table1[Food Item], Table1[Calories (kcal)]) * (Table9[[#This Row],[Quantity(g/ml)]]/100)</f>
        <v>40</v>
      </c>
      <c r="O42" s="55">
        <v>5</v>
      </c>
      <c r="P42">
        <v>1500</v>
      </c>
      <c r="Q42"/>
    </row>
    <row r="43" spans="4:17">
      <c r="D43" s="40">
        <v>45896</v>
      </c>
      <c r="E43">
        <f>WEEKNUM('Diet Plan Log'!$D43)</f>
        <v>35</v>
      </c>
      <c r="F43" t="s">
        <v>38</v>
      </c>
      <c r="G43" s="60">
        <v>0.75</v>
      </c>
      <c r="H43" t="s">
        <v>59</v>
      </c>
      <c r="I43" s="7">
        <v>33.483294483294202</v>
      </c>
      <c r="J43" s="7">
        <f>_xlfn.XLOOKUP(Table9[[#This Row],[Food Item]], Table1[Food Item], Table1[Protein (g)]) * (Table9[[#This Row],[Quantity(g/ml)]]/100)</f>
        <v>3.3483294483294204</v>
      </c>
      <c r="K43" s="7">
        <f>_xlfn.XLOOKUP(Table9[[#This Row],[Food Item]], Table1[Food Item], Table1[Carbs (g)] ) * (Table9[[#This Row],[Quantity(g/ml)]]/100)</f>
        <v>1.6741647241647102</v>
      </c>
      <c r="L43" s="7">
        <f>_xlfn.XLOOKUP(Table9[[#This Row],[Food Item]], Table1[Food Item], Table1[Fats (g)] ) * (Table9[[#This Row],[Quantity(g/ml)]]/100)</f>
        <v>1.0044988344988259</v>
      </c>
      <c r="M43" s="7">
        <f>_xlfn.XLOOKUP(Table9[[#This Row],[Food Item]], Table1[Food Item], Table1[Fiber (g)]) * (Table9[[#This Row],[Quantity(g/ml)]]/100)</f>
        <v>0</v>
      </c>
      <c r="N43" s="5">
        <f>_xlfn.XLOOKUP(Table9[[#This Row],[Food Item]], Table1[Food Item], Table1[Calories (kcal)]) * (Table9[[#This Row],[Quantity(g/ml)]]/100)</f>
        <v>26.786635586635363</v>
      </c>
      <c r="O43" s="55">
        <v>6.8333333333333304</v>
      </c>
      <c r="P43">
        <v>1500</v>
      </c>
      <c r="Q43"/>
    </row>
    <row r="44" spans="4:17">
      <c r="D44" s="40">
        <v>45897</v>
      </c>
      <c r="E44">
        <f>WEEKNUM('Diet Plan Log'!$D44)</f>
        <v>35</v>
      </c>
      <c r="F44" t="s">
        <v>36</v>
      </c>
      <c r="G44" s="60">
        <v>0.33333333333333331</v>
      </c>
      <c r="H44" t="s">
        <v>67</v>
      </c>
      <c r="I44" s="7">
        <v>35.923187923187598</v>
      </c>
      <c r="J44" s="7">
        <f>_xlfn.XLOOKUP(Table9[[#This Row],[Food Item]], Table1[Food Item], Table1[Protein (g)]) * (Table9[[#This Row],[Quantity(g/ml)]]/100)</f>
        <v>6.106941946941892</v>
      </c>
      <c r="K44" s="7">
        <f>_xlfn.XLOOKUP(Table9[[#This Row],[Food Item]], Table1[Food Item], Table1[Carbs (g)] ) * (Table9[[#This Row],[Quantity(g/ml)]]/100)</f>
        <v>23.709304029303816</v>
      </c>
      <c r="L44" s="7">
        <f>_xlfn.XLOOKUP(Table9[[#This Row],[Food Item]], Table1[Food Item], Table1[Fats (g)] ) * (Table9[[#This Row],[Quantity(g/ml)]]/100)</f>
        <v>2.5146231546231319</v>
      </c>
      <c r="M44" s="7">
        <f>_xlfn.XLOOKUP(Table9[[#This Row],[Food Item]], Table1[Food Item], Table1[Fiber (g)]) * (Table9[[#This Row],[Quantity(g/ml)]]/100)</f>
        <v>3.5923187923187601</v>
      </c>
      <c r="N44" s="5">
        <f>_xlfn.XLOOKUP(Table9[[#This Row],[Food Item]], Table1[Food Item], Table1[Calories (kcal)]) * (Table9[[#This Row],[Quantity(g/ml)]]/100)</f>
        <v>139.74120102119977</v>
      </c>
      <c r="O44" s="55">
        <v>6.6190476190476204</v>
      </c>
      <c r="P44">
        <v>2000</v>
      </c>
      <c r="Q44"/>
    </row>
    <row r="45" spans="4:17">
      <c r="D45" s="40">
        <v>45897</v>
      </c>
      <c r="E45">
        <f>WEEKNUM('Diet Plan Log'!$D45)</f>
        <v>35</v>
      </c>
      <c r="F45" t="s">
        <v>37</v>
      </c>
      <c r="G45" s="60">
        <v>0.5</v>
      </c>
      <c r="H45" t="s">
        <v>55</v>
      </c>
      <c r="I45" s="7">
        <v>150</v>
      </c>
      <c r="J45" s="7">
        <f>_xlfn.XLOOKUP(Table9[[#This Row],[Food Item]], Table1[Food Item], Table1[Protein (g)]) * (Table9[[#This Row],[Quantity(g/ml)]]/100)</f>
        <v>39</v>
      </c>
      <c r="K45" s="7">
        <f>_xlfn.XLOOKUP(Table9[[#This Row],[Food Item]], Table1[Food Item], Table1[Carbs (g)] ) * (Table9[[#This Row],[Quantity(g/ml)]]/100)</f>
        <v>0</v>
      </c>
      <c r="L45" s="7">
        <f>_xlfn.XLOOKUP(Table9[[#This Row],[Food Item]], Table1[Food Item], Table1[Fats (g)] ) * (Table9[[#This Row],[Quantity(g/ml)]]/100)</f>
        <v>15</v>
      </c>
      <c r="M45" s="7">
        <f>_xlfn.XLOOKUP(Table9[[#This Row],[Food Item]], Table1[Food Item], Table1[Fiber (g)]) * (Table9[[#This Row],[Quantity(g/ml)]]/100)</f>
        <v>0</v>
      </c>
      <c r="N45" s="5">
        <f>_xlfn.XLOOKUP(Table9[[#This Row],[Food Item]], Table1[Food Item], Table1[Calories (kcal)]) * (Table9[[#This Row],[Quantity(g/ml)]]/100)</f>
        <v>375</v>
      </c>
      <c r="O45" s="55">
        <v>7</v>
      </c>
      <c r="P45"/>
      <c r="Q45"/>
    </row>
    <row r="46" spans="4:17">
      <c r="D46" s="40">
        <v>45898</v>
      </c>
      <c r="E46">
        <f>WEEKNUM('Diet Plan Log'!$D46)</f>
        <v>35</v>
      </c>
      <c r="F46" t="s">
        <v>36</v>
      </c>
      <c r="G46" s="60">
        <v>0.375</v>
      </c>
      <c r="H46" t="s">
        <v>59</v>
      </c>
      <c r="I46" s="7">
        <v>100</v>
      </c>
      <c r="J46" s="7">
        <f>_xlfn.XLOOKUP(Table9[[#This Row],[Food Item]], Table1[Food Item], Table1[Protein (g)]) * (Table9[[#This Row],[Quantity(g/ml)]]/100)</f>
        <v>10</v>
      </c>
      <c r="K46" s="7">
        <f>_xlfn.XLOOKUP(Table9[[#This Row],[Food Item]], Table1[Food Item], Table1[Carbs (g)] ) * (Table9[[#This Row],[Quantity(g/ml)]]/100)</f>
        <v>5</v>
      </c>
      <c r="L46" s="7">
        <f>_xlfn.XLOOKUP(Table9[[#This Row],[Food Item]], Table1[Food Item], Table1[Fats (g)] ) * (Table9[[#This Row],[Quantity(g/ml)]]/100)</f>
        <v>3</v>
      </c>
      <c r="M46" s="7">
        <f>_xlfn.XLOOKUP(Table9[[#This Row],[Food Item]], Table1[Food Item], Table1[Fiber (g)]) * (Table9[[#This Row],[Quantity(g/ml)]]/100)</f>
        <v>0</v>
      </c>
      <c r="N46" s="5">
        <f>_xlfn.XLOOKUP(Table9[[#This Row],[Food Item]], Table1[Food Item], Table1[Calories (kcal)]) * (Table9[[#This Row],[Quantity(g/ml)]]/100)</f>
        <v>80</v>
      </c>
      <c r="O46" s="55">
        <v>8</v>
      </c>
      <c r="P46"/>
      <c r="Q46"/>
    </row>
    <row r="47" spans="4:17">
      <c r="D47" s="40">
        <v>45898</v>
      </c>
      <c r="E47">
        <f>WEEKNUM('Diet Plan Log'!$D47)</f>
        <v>35</v>
      </c>
      <c r="F47" t="s">
        <v>192</v>
      </c>
      <c r="G47" s="60">
        <v>0.5</v>
      </c>
      <c r="H47" t="s">
        <v>64</v>
      </c>
      <c r="I47" s="7">
        <v>50</v>
      </c>
      <c r="J47" s="7">
        <f>_xlfn.XLOOKUP(Table9[[#This Row],[Food Item]], Table1[Food Item], Table1[Protein (g)]) * (Table9[[#This Row],[Quantity(g/ml)]]/100)</f>
        <v>1.3</v>
      </c>
      <c r="K47" s="7">
        <f>_xlfn.XLOOKUP(Table9[[#This Row],[Food Item]], Table1[Food Item], Table1[Carbs (g)] ) * (Table9[[#This Row],[Quantity(g/ml)]]/100)</f>
        <v>11.5</v>
      </c>
      <c r="L47" s="7">
        <f>_xlfn.XLOOKUP(Table9[[#This Row],[Food Item]], Table1[Food Item], Table1[Fats (g)] ) * (Table9[[#This Row],[Quantity(g/ml)]]/100)</f>
        <v>0.45</v>
      </c>
      <c r="M47" s="7">
        <f>_xlfn.XLOOKUP(Table9[[#This Row],[Food Item]], Table1[Food Item], Table1[Fiber (g)]) * (Table9[[#This Row],[Quantity(g/ml)]]/100)</f>
        <v>1</v>
      </c>
      <c r="N47" s="5">
        <f>_xlfn.XLOOKUP(Table9[[#This Row],[Food Item]], Table1[Food Item], Table1[Calories (kcal)]) * (Table9[[#This Row],[Quantity(g/ml)]]/100)</f>
        <v>55.5</v>
      </c>
      <c r="O47" s="55">
        <v>5</v>
      </c>
      <c r="P47"/>
      <c r="Q47"/>
    </row>
    <row r="48" spans="4:17">
      <c r="D48" s="40">
        <v>45898</v>
      </c>
      <c r="E48">
        <f>WEEKNUM('Diet Plan Log'!$D48)</f>
        <v>35</v>
      </c>
      <c r="F48" t="s">
        <v>38</v>
      </c>
      <c r="G48" s="60">
        <v>0.75</v>
      </c>
      <c r="H48" t="s">
        <v>59</v>
      </c>
      <c r="I48" s="7">
        <v>200</v>
      </c>
      <c r="J48" s="7">
        <f>_xlfn.XLOOKUP(Table9[[#This Row],[Food Item]], Table1[Food Item], Table1[Protein (g)]) * (Table9[[#This Row],[Quantity(g/ml)]]/100)</f>
        <v>20</v>
      </c>
      <c r="K48" s="7">
        <f>_xlfn.XLOOKUP(Table9[[#This Row],[Food Item]], Table1[Food Item], Table1[Carbs (g)] ) * (Table9[[#This Row],[Quantity(g/ml)]]/100)</f>
        <v>10</v>
      </c>
      <c r="L48" s="7">
        <f>_xlfn.XLOOKUP(Table9[[#This Row],[Food Item]], Table1[Food Item], Table1[Fats (g)] ) * (Table9[[#This Row],[Quantity(g/ml)]]/100)</f>
        <v>6</v>
      </c>
      <c r="M48" s="7">
        <f>_xlfn.XLOOKUP(Table9[[#This Row],[Food Item]], Table1[Food Item], Table1[Fiber (g)]) * (Table9[[#This Row],[Quantity(g/ml)]]/100)</f>
        <v>0</v>
      </c>
      <c r="N48" s="5">
        <f>_xlfn.XLOOKUP(Table9[[#This Row],[Food Item]], Table1[Food Item], Table1[Calories (kcal)]) * (Table9[[#This Row],[Quantity(g/ml)]]/100)</f>
        <v>160</v>
      </c>
      <c r="O48" s="55">
        <v>4</v>
      </c>
      <c r="P48"/>
      <c r="Q48"/>
    </row>
    <row r="49" spans="4:17">
      <c r="D49" s="40">
        <v>45899</v>
      </c>
      <c r="E49">
        <f>WEEKNUM('Diet Plan Log'!$D49)</f>
        <v>35</v>
      </c>
      <c r="F49" t="s">
        <v>36</v>
      </c>
      <c r="G49" s="60">
        <v>0.375</v>
      </c>
      <c r="H49" t="s">
        <v>67</v>
      </c>
      <c r="I49" s="7">
        <v>15</v>
      </c>
      <c r="J49" s="7">
        <f>_xlfn.XLOOKUP(Table9[[#This Row],[Food Item]], Table1[Food Item], Table1[Protein (g)]) * (Table9[[#This Row],[Quantity(g/ml)]]/100)</f>
        <v>2.5499999999999998</v>
      </c>
      <c r="K49" s="7">
        <f>_xlfn.XLOOKUP(Table9[[#This Row],[Food Item]], Table1[Food Item], Table1[Carbs (g)] ) * (Table9[[#This Row],[Quantity(g/ml)]]/100)</f>
        <v>9.9</v>
      </c>
      <c r="L49" s="7">
        <f>_xlfn.XLOOKUP(Table9[[#This Row],[Food Item]], Table1[Food Item], Table1[Fats (g)] ) * (Table9[[#This Row],[Quantity(g/ml)]]/100)</f>
        <v>1.05</v>
      </c>
      <c r="M49" s="7">
        <f>_xlfn.XLOOKUP(Table9[[#This Row],[Food Item]], Table1[Food Item], Table1[Fiber (g)]) * (Table9[[#This Row],[Quantity(g/ml)]]/100)</f>
        <v>1.5</v>
      </c>
      <c r="N49" s="5">
        <f>_xlfn.XLOOKUP(Table9[[#This Row],[Food Item]], Table1[Food Item], Table1[Calories (kcal)]) * (Table9[[#This Row],[Quantity(g/ml)]]/100)</f>
        <v>58.349999999999994</v>
      </c>
      <c r="O49" s="55">
        <v>6.6190476190476204</v>
      </c>
      <c r="P49">
        <v>2000</v>
      </c>
      <c r="Q49"/>
    </row>
    <row r="50" spans="4:17">
      <c r="D50" s="40">
        <v>45899</v>
      </c>
      <c r="E50">
        <f>WEEKNUM('Diet Plan Log'!$D50)</f>
        <v>35</v>
      </c>
      <c r="F50" t="s">
        <v>37</v>
      </c>
      <c r="G50" s="60">
        <v>0.5</v>
      </c>
      <c r="H50" t="s">
        <v>56</v>
      </c>
      <c r="I50" s="7">
        <v>150</v>
      </c>
      <c r="J50" s="7">
        <f>_xlfn.XLOOKUP(Table9[[#This Row],[Food Item]], Table1[Food Item], Table1[Protein (g)]) * (Table9[[#This Row],[Quantity(g/ml)]]/100)</f>
        <v>37.5</v>
      </c>
      <c r="K50" s="7">
        <f>_xlfn.XLOOKUP(Table9[[#This Row],[Food Item]], Table1[Food Item], Table1[Carbs (g)] ) * (Table9[[#This Row],[Quantity(g/ml)]]/100)</f>
        <v>0</v>
      </c>
      <c r="L50" s="7">
        <f>_xlfn.XLOOKUP(Table9[[#This Row],[Food Item]], Table1[Food Item], Table1[Fats (g)] ) * (Table9[[#This Row],[Quantity(g/ml)]]/100)</f>
        <v>19.5</v>
      </c>
      <c r="M50" s="7">
        <f>_xlfn.XLOOKUP(Table9[[#This Row],[Food Item]], Table1[Food Item], Table1[Fiber (g)]) * (Table9[[#This Row],[Quantity(g/ml)]]/100)</f>
        <v>0</v>
      </c>
      <c r="N50" s="5">
        <f>_xlfn.XLOOKUP(Table9[[#This Row],[Food Item]], Table1[Food Item], Table1[Calories (kcal)]) * (Table9[[#This Row],[Quantity(g/ml)]]/100)</f>
        <v>312</v>
      </c>
      <c r="O50" s="55">
        <v>7</v>
      </c>
      <c r="P50"/>
      <c r="Q50"/>
    </row>
    <row r="51" spans="4:17">
      <c r="D51" s="40">
        <v>45899</v>
      </c>
      <c r="E51">
        <f>WEEKNUM('Diet Plan Log'!$D51)</f>
        <v>35</v>
      </c>
      <c r="F51" t="s">
        <v>38</v>
      </c>
      <c r="G51" s="60">
        <v>0.75</v>
      </c>
      <c r="H51" t="s">
        <v>61</v>
      </c>
      <c r="I51" s="7">
        <v>180</v>
      </c>
      <c r="J51" s="7">
        <f>_xlfn.XLOOKUP(Table9[[#This Row],[Food Item]], Table1[Food Item], Table1[Protein (g)]) * (Table9[[#This Row],[Quantity(g/ml)]]/100)</f>
        <v>5.4</v>
      </c>
      <c r="K51" s="7">
        <f>_xlfn.XLOOKUP(Table9[[#This Row],[Food Item]], Table1[Food Item], Table1[Carbs (g)] ) * (Table9[[#This Row],[Quantity(g/ml)]]/100)</f>
        <v>9</v>
      </c>
      <c r="L51" s="7">
        <f>_xlfn.XLOOKUP(Table9[[#This Row],[Food Item]], Table1[Food Item], Table1[Fats (g)] ) * (Table9[[#This Row],[Quantity(g/ml)]]/100)</f>
        <v>1.8</v>
      </c>
      <c r="M51" s="7">
        <f>_xlfn.XLOOKUP(Table9[[#This Row],[Food Item]], Table1[Food Item], Table1[Fiber (g)]) * (Table9[[#This Row],[Quantity(g/ml)]]/100)</f>
        <v>0</v>
      </c>
      <c r="N51" s="5">
        <f>_xlfn.XLOOKUP(Table9[[#This Row],[Food Item]], Table1[Food Item], Table1[Calories (kcal)]) * (Table9[[#This Row],[Quantity(g/ml)]]/100)</f>
        <v>75.600000000000009</v>
      </c>
      <c r="O51" s="55">
        <v>5.5</v>
      </c>
      <c r="P51"/>
      <c r="Q51"/>
    </row>
    <row r="52" spans="4:17">
      <c r="D52" s="40">
        <v>45900</v>
      </c>
      <c r="E52">
        <f>WEEKNUM('Diet Plan Log'!$D52)</f>
        <v>36</v>
      </c>
      <c r="F52" t="s">
        <v>36</v>
      </c>
      <c r="G52" s="60">
        <v>0.33333333333333331</v>
      </c>
      <c r="H52" t="s">
        <v>57</v>
      </c>
      <c r="I52" s="7">
        <v>150</v>
      </c>
      <c r="J52" s="7">
        <f>_xlfn.XLOOKUP(Table9[[#This Row],[Food Item]], Table1[Food Item], Table1[Protein (g)]) * (Table9[[#This Row],[Quantity(g/ml)]]/100)</f>
        <v>19.5</v>
      </c>
      <c r="K52" s="7">
        <f>_xlfn.XLOOKUP(Table9[[#This Row],[Food Item]], Table1[Food Item], Table1[Carbs (g)] ) * (Table9[[#This Row],[Quantity(g/ml)]]/100)</f>
        <v>1.5</v>
      </c>
      <c r="L52" s="7">
        <f>_xlfn.XLOOKUP(Table9[[#This Row],[Food Item]], Table1[Food Item], Table1[Fats (g)] ) * (Table9[[#This Row],[Quantity(g/ml)]]/100)</f>
        <v>16.5</v>
      </c>
      <c r="M52" s="7">
        <f>_xlfn.XLOOKUP(Table9[[#This Row],[Food Item]], Table1[Food Item], Table1[Fiber (g)]) * (Table9[[#This Row],[Quantity(g/ml)]]/100)</f>
        <v>0</v>
      </c>
      <c r="N52" s="5">
        <f>_xlfn.XLOOKUP(Table9[[#This Row],[Food Item]], Table1[Food Item], Table1[Calories (kcal)]) * (Table9[[#This Row],[Quantity(g/ml)]]/100)</f>
        <v>232.5</v>
      </c>
      <c r="O52" s="55">
        <v>8</v>
      </c>
      <c r="P52"/>
      <c r="Q52"/>
    </row>
    <row r="53" spans="4:17">
      <c r="D53" s="40">
        <v>45900</v>
      </c>
      <c r="E53">
        <f>WEEKNUM('Diet Plan Log'!$D53)</f>
        <v>36</v>
      </c>
      <c r="F53" t="s">
        <v>37</v>
      </c>
      <c r="G53" s="60">
        <v>0.5</v>
      </c>
      <c r="H53" t="s">
        <v>51</v>
      </c>
      <c r="I53" s="7">
        <v>150</v>
      </c>
      <c r="J53" s="7">
        <f>_xlfn.XLOOKUP(Table9[[#This Row],[Food Item]], Table1[Food Item], Table1[Protein (g)]) * (Table9[[#This Row],[Quantity(g/ml)]]/100)</f>
        <v>13.5</v>
      </c>
      <c r="K53" s="7">
        <f>_xlfn.XLOOKUP(Table9[[#This Row],[Food Item]], Table1[Food Item], Table1[Carbs (g)] ) * (Table9[[#This Row],[Quantity(g/ml)]]/100)</f>
        <v>30</v>
      </c>
      <c r="L53" s="7">
        <f>_xlfn.XLOOKUP(Table9[[#This Row],[Food Item]], Table1[Food Item], Table1[Fats (g)] ) * (Table9[[#This Row],[Quantity(g/ml)]]/100)</f>
        <v>0.60000000000000009</v>
      </c>
      <c r="M53" s="7">
        <f>_xlfn.XLOOKUP(Table9[[#This Row],[Food Item]], Table1[Food Item], Table1[Fiber (g)]) * (Table9[[#This Row],[Quantity(g/ml)]]/100)</f>
        <v>12</v>
      </c>
      <c r="N53" s="5">
        <f>_xlfn.XLOOKUP(Table9[[#This Row],[Food Item]], Table1[Food Item], Table1[Calories (kcal)]) * (Table9[[#This Row],[Quantity(g/ml)]]/100)</f>
        <v>174</v>
      </c>
      <c r="O53" s="55">
        <v>4.5</v>
      </c>
      <c r="P53"/>
      <c r="Q53"/>
    </row>
    <row r="54" spans="4:17">
      <c r="D54" s="40">
        <v>45900</v>
      </c>
      <c r="E54">
        <f>WEEKNUM('Diet Plan Log'!$D54)</f>
        <v>36</v>
      </c>
      <c r="F54" t="s">
        <v>38</v>
      </c>
      <c r="G54" s="60">
        <v>0.75</v>
      </c>
      <c r="H54" t="s">
        <v>53</v>
      </c>
      <c r="I54" s="7">
        <v>500</v>
      </c>
      <c r="J54" s="7">
        <f>_xlfn.XLOOKUP(Table9[[#This Row],[Food Item]], Table1[Food Item], Table1[Protein (g)]) * (Table9[[#This Row],[Quantity(g/ml)]]/100)</f>
        <v>155</v>
      </c>
      <c r="K54" s="7">
        <f>_xlfn.XLOOKUP(Table9[[#This Row],[Food Item]], Table1[Food Item], Table1[Carbs (g)] ) * (Table9[[#This Row],[Quantity(g/ml)]]/100)</f>
        <v>0</v>
      </c>
      <c r="L54" s="7">
        <f>_xlfn.XLOOKUP(Table9[[#This Row],[Food Item]], Table1[Food Item], Table1[Fats (g)] ) * (Table9[[#This Row],[Quantity(g/ml)]]/100)</f>
        <v>15</v>
      </c>
      <c r="M54" s="7">
        <f>_xlfn.XLOOKUP(Table9[[#This Row],[Food Item]], Table1[Food Item], Table1[Fiber (g)]) * (Table9[[#This Row],[Quantity(g/ml)]]/100)</f>
        <v>0</v>
      </c>
      <c r="N54" s="5">
        <f>_xlfn.XLOOKUP(Table9[[#This Row],[Food Item]], Table1[Food Item], Table1[Calories (kcal)]) * (Table9[[#This Row],[Quantity(g/ml)]]/100)</f>
        <v>825</v>
      </c>
      <c r="O54" s="55">
        <v>7.5</v>
      </c>
      <c r="P54">
        <v>2500</v>
      </c>
      <c r="Q54"/>
    </row>
    <row r="55" spans="4:17">
      <c r="D55" s="40">
        <v>45901</v>
      </c>
      <c r="E55">
        <f>WEEKNUM('Diet Plan Log'!$D55)</f>
        <v>36</v>
      </c>
      <c r="F55" t="s">
        <v>36</v>
      </c>
      <c r="G55" s="60">
        <v>0.33333333333333331</v>
      </c>
      <c r="H55" t="s">
        <v>59</v>
      </c>
      <c r="I55" s="7">
        <v>150</v>
      </c>
      <c r="J55" s="7">
        <f>_xlfn.XLOOKUP(Table9[[#This Row],[Food Item]], Table1[Food Item], Table1[Protein (g)]) * (Table9[[#This Row],[Quantity(g/ml)]]/100)</f>
        <v>15</v>
      </c>
      <c r="K55" s="7">
        <f>_xlfn.XLOOKUP(Table9[[#This Row],[Food Item]], Table1[Food Item], Table1[Carbs (g)] ) * (Table9[[#This Row],[Quantity(g/ml)]]/100)</f>
        <v>7.5</v>
      </c>
      <c r="L55" s="7">
        <f>_xlfn.XLOOKUP(Table9[[#This Row],[Food Item]], Table1[Food Item], Table1[Fats (g)] ) * (Table9[[#This Row],[Quantity(g/ml)]]/100)</f>
        <v>4.5</v>
      </c>
      <c r="M55" s="7">
        <f>_xlfn.XLOOKUP(Table9[[#This Row],[Food Item]], Table1[Food Item], Table1[Fiber (g)]) * (Table9[[#This Row],[Quantity(g/ml)]]/100)</f>
        <v>0</v>
      </c>
      <c r="N55" s="5">
        <f>_xlfn.XLOOKUP(Table9[[#This Row],[Food Item]], Table1[Food Item], Table1[Calories (kcal)]) * (Table9[[#This Row],[Quantity(g/ml)]]/100)</f>
        <v>120</v>
      </c>
      <c r="O55" s="55">
        <v>8</v>
      </c>
      <c r="P55"/>
      <c r="Q55"/>
    </row>
    <row r="56" spans="4:17">
      <c r="D56" s="40">
        <v>45901</v>
      </c>
      <c r="E56">
        <f>WEEKNUM('Diet Plan Log'!$D56)</f>
        <v>36</v>
      </c>
      <c r="F56" t="s">
        <v>37</v>
      </c>
      <c r="G56" s="60">
        <v>0.5</v>
      </c>
      <c r="H56" t="s">
        <v>64</v>
      </c>
      <c r="I56" s="7">
        <v>150</v>
      </c>
      <c r="J56" s="7">
        <f>_xlfn.XLOOKUP(Table9[[#This Row],[Food Item]], Table1[Food Item], Table1[Protein (g)]) * (Table9[[#This Row],[Quantity(g/ml)]]/100)</f>
        <v>3.9000000000000004</v>
      </c>
      <c r="K56" s="7">
        <f>_xlfn.XLOOKUP(Table9[[#This Row],[Food Item]], Table1[Food Item], Table1[Carbs (g)] ) * (Table9[[#This Row],[Quantity(g/ml)]]/100)</f>
        <v>34.5</v>
      </c>
      <c r="L56" s="7">
        <f>_xlfn.XLOOKUP(Table9[[#This Row],[Food Item]], Table1[Food Item], Table1[Fats (g)] ) * (Table9[[#This Row],[Quantity(g/ml)]]/100)</f>
        <v>1.35</v>
      </c>
      <c r="M56" s="7">
        <f>_xlfn.XLOOKUP(Table9[[#This Row],[Food Item]], Table1[Food Item], Table1[Fiber (g)]) * (Table9[[#This Row],[Quantity(g/ml)]]/100)</f>
        <v>3</v>
      </c>
      <c r="N56" s="5">
        <f>_xlfn.XLOOKUP(Table9[[#This Row],[Food Item]], Table1[Food Item], Table1[Calories (kcal)]) * (Table9[[#This Row],[Quantity(g/ml)]]/100)</f>
        <v>166.5</v>
      </c>
      <c r="O56" s="55">
        <v>4.5</v>
      </c>
      <c r="P56"/>
      <c r="Q56"/>
    </row>
    <row r="57" spans="4:17">
      <c r="D57" s="40">
        <v>45901</v>
      </c>
      <c r="E57">
        <f>WEEKNUM('Diet Plan Log'!$D57)</f>
        <v>36</v>
      </c>
      <c r="F57" t="s">
        <v>38</v>
      </c>
      <c r="G57" s="60">
        <v>0.75</v>
      </c>
      <c r="H57" t="s">
        <v>53</v>
      </c>
      <c r="I57" s="7">
        <v>500</v>
      </c>
      <c r="J57" s="7">
        <f>_xlfn.XLOOKUP(Table9[[#This Row],[Food Item]], Table1[Food Item], Table1[Protein (g)]) * (Table9[[#This Row],[Quantity(g/ml)]]/100)</f>
        <v>155</v>
      </c>
      <c r="K57" s="7">
        <f>_xlfn.XLOOKUP(Table9[[#This Row],[Food Item]], Table1[Food Item], Table1[Carbs (g)] ) * (Table9[[#This Row],[Quantity(g/ml)]]/100)</f>
        <v>0</v>
      </c>
      <c r="L57" s="7">
        <f>_xlfn.XLOOKUP(Table9[[#This Row],[Food Item]], Table1[Food Item], Table1[Fats (g)] ) * (Table9[[#This Row],[Quantity(g/ml)]]/100)</f>
        <v>15</v>
      </c>
      <c r="M57" s="7">
        <f>_xlfn.XLOOKUP(Table9[[#This Row],[Food Item]], Table1[Food Item], Table1[Fiber (g)]) * (Table9[[#This Row],[Quantity(g/ml)]]/100)</f>
        <v>0</v>
      </c>
      <c r="N57" s="5">
        <f>_xlfn.XLOOKUP(Table9[[#This Row],[Food Item]], Table1[Food Item], Table1[Calories (kcal)]) * (Table9[[#This Row],[Quantity(g/ml)]]/100)</f>
        <v>825</v>
      </c>
      <c r="O57" s="55">
        <v>7.5</v>
      </c>
      <c r="P57">
        <v>2500</v>
      </c>
      <c r="Q57"/>
    </row>
    <row r="58" spans="4:17">
      <c r="D58" s="40">
        <v>45902</v>
      </c>
      <c r="E58">
        <f>WEEKNUM('Diet Plan Log'!$D58)</f>
        <v>36</v>
      </c>
      <c r="F58" t="s">
        <v>36</v>
      </c>
      <c r="G58" s="60">
        <v>0.33333333333333331</v>
      </c>
      <c r="H58" t="s">
        <v>59</v>
      </c>
      <c r="I58" s="7">
        <v>150</v>
      </c>
      <c r="J58" s="7">
        <f>_xlfn.XLOOKUP(Table9[[#This Row],[Food Item]], Table1[Food Item], Table1[Protein (g)]) * (Table9[[#This Row],[Quantity(g/ml)]]/100)</f>
        <v>15</v>
      </c>
      <c r="K58" s="7">
        <f>_xlfn.XLOOKUP(Table9[[#This Row],[Food Item]], Table1[Food Item], Table1[Carbs (g)] ) * (Table9[[#This Row],[Quantity(g/ml)]]/100)</f>
        <v>7.5</v>
      </c>
      <c r="L58" s="7">
        <f>_xlfn.XLOOKUP(Table9[[#This Row],[Food Item]], Table1[Food Item], Table1[Fats (g)] ) * (Table9[[#This Row],[Quantity(g/ml)]]/100)</f>
        <v>4.5</v>
      </c>
      <c r="M58" s="7">
        <f>_xlfn.XLOOKUP(Table9[[#This Row],[Food Item]], Table1[Food Item], Table1[Fiber (g)]) * (Table9[[#This Row],[Quantity(g/ml)]]/100)</f>
        <v>0</v>
      </c>
      <c r="N58" s="5">
        <f>_xlfn.XLOOKUP(Table9[[#This Row],[Food Item]], Table1[Food Item], Table1[Calories (kcal)]) * (Table9[[#This Row],[Quantity(g/ml)]]/100)</f>
        <v>120</v>
      </c>
      <c r="O58" s="55">
        <v>8</v>
      </c>
      <c r="P58"/>
      <c r="Q58"/>
    </row>
    <row r="59" spans="4:17">
      <c r="D59" s="40">
        <v>45902</v>
      </c>
      <c r="E59">
        <f>WEEKNUM('Diet Plan Log'!$D59)</f>
        <v>36</v>
      </c>
      <c r="F59" t="s">
        <v>37</v>
      </c>
      <c r="G59" s="60">
        <v>0.5</v>
      </c>
      <c r="H59" t="s">
        <v>64</v>
      </c>
      <c r="I59" s="7">
        <v>150</v>
      </c>
      <c r="J59" s="7">
        <f>_xlfn.XLOOKUP(Table9[[#This Row],[Food Item]], Table1[Food Item], Table1[Protein (g)]) * (Table9[[#This Row],[Quantity(g/ml)]]/100)</f>
        <v>3.9000000000000004</v>
      </c>
      <c r="K59" s="7">
        <f>_xlfn.XLOOKUP(Table9[[#This Row],[Food Item]], Table1[Food Item], Table1[Carbs (g)] ) * (Table9[[#This Row],[Quantity(g/ml)]]/100)</f>
        <v>34.5</v>
      </c>
      <c r="L59" s="7">
        <f>_xlfn.XLOOKUP(Table9[[#This Row],[Food Item]], Table1[Food Item], Table1[Fats (g)] ) * (Table9[[#This Row],[Quantity(g/ml)]]/100)</f>
        <v>1.35</v>
      </c>
      <c r="M59" s="7">
        <f>_xlfn.XLOOKUP(Table9[[#This Row],[Food Item]], Table1[Food Item], Table1[Fiber (g)]) * (Table9[[#This Row],[Quantity(g/ml)]]/100)</f>
        <v>3</v>
      </c>
      <c r="N59" s="5">
        <f>_xlfn.XLOOKUP(Table9[[#This Row],[Food Item]], Table1[Food Item], Table1[Calories (kcal)]) * (Table9[[#This Row],[Quantity(g/ml)]]/100)</f>
        <v>166.5</v>
      </c>
      <c r="O59" s="55">
        <v>4.5</v>
      </c>
      <c r="P59"/>
      <c r="Q59"/>
    </row>
    <row r="60" spans="4:17">
      <c r="D60" s="40">
        <v>45902</v>
      </c>
      <c r="E60">
        <f>WEEKNUM('Diet Plan Log'!$D60)</f>
        <v>36</v>
      </c>
      <c r="F60" t="s">
        <v>38</v>
      </c>
      <c r="G60" s="60">
        <v>0.75</v>
      </c>
      <c r="H60" t="s">
        <v>53</v>
      </c>
      <c r="I60" s="7">
        <v>500</v>
      </c>
      <c r="J60" s="7">
        <f>_xlfn.XLOOKUP(Table9[[#This Row],[Food Item]], Table1[Food Item], Table1[Protein (g)]) * (Table9[[#This Row],[Quantity(g/ml)]]/100)</f>
        <v>155</v>
      </c>
      <c r="K60" s="7">
        <f>_xlfn.XLOOKUP(Table9[[#This Row],[Food Item]], Table1[Food Item], Table1[Carbs (g)] ) * (Table9[[#This Row],[Quantity(g/ml)]]/100)</f>
        <v>0</v>
      </c>
      <c r="L60" s="7">
        <f>_xlfn.XLOOKUP(Table9[[#This Row],[Food Item]], Table1[Food Item], Table1[Fats (g)] ) * (Table9[[#This Row],[Quantity(g/ml)]]/100)</f>
        <v>15</v>
      </c>
      <c r="M60" s="7">
        <f>_xlfn.XLOOKUP(Table9[[#This Row],[Food Item]], Table1[Food Item], Table1[Fiber (g)]) * (Table9[[#This Row],[Quantity(g/ml)]]/100)</f>
        <v>0</v>
      </c>
      <c r="N60" s="5">
        <f>_xlfn.XLOOKUP(Table9[[#This Row],[Food Item]], Table1[Food Item], Table1[Calories (kcal)]) * (Table9[[#This Row],[Quantity(g/ml)]]/100)</f>
        <v>825</v>
      </c>
      <c r="O60" s="55">
        <v>7.5</v>
      </c>
      <c r="P60">
        <v>2500</v>
      </c>
      <c r="Q60"/>
    </row>
    <row r="61" spans="4:17">
      <c r="D61" s="40">
        <v>45903</v>
      </c>
      <c r="E61">
        <f>WEEKNUM('Diet Plan Log'!$D61)</f>
        <v>36</v>
      </c>
      <c r="F61" t="s">
        <v>36</v>
      </c>
      <c r="G61" s="60">
        <v>0.33333333333333331</v>
      </c>
      <c r="H61" t="s">
        <v>57</v>
      </c>
      <c r="I61" s="7">
        <v>150</v>
      </c>
      <c r="J61" s="7">
        <f>_xlfn.XLOOKUP(Table9[[#This Row],[Food Item]], Table1[Food Item], Table1[Protein (g)]) * (Table9[[#This Row],[Quantity(g/ml)]]/100)</f>
        <v>19.5</v>
      </c>
      <c r="K61" s="7">
        <f>_xlfn.XLOOKUP(Table9[[#This Row],[Food Item]], Table1[Food Item], Table1[Carbs (g)] ) * (Table9[[#This Row],[Quantity(g/ml)]]/100)</f>
        <v>1.5</v>
      </c>
      <c r="L61" s="7">
        <f>_xlfn.XLOOKUP(Table9[[#This Row],[Food Item]], Table1[Food Item], Table1[Fats (g)] ) * (Table9[[#This Row],[Quantity(g/ml)]]/100)</f>
        <v>16.5</v>
      </c>
      <c r="M61" s="7">
        <f>_xlfn.XLOOKUP(Table9[[#This Row],[Food Item]], Table1[Food Item], Table1[Fiber (g)]) * (Table9[[#This Row],[Quantity(g/ml)]]/100)</f>
        <v>0</v>
      </c>
      <c r="N61" s="5">
        <f>_xlfn.XLOOKUP(Table9[[#This Row],[Food Item]], Table1[Food Item], Table1[Calories (kcal)]) * (Table9[[#This Row],[Quantity(g/ml)]]/100)</f>
        <v>232.5</v>
      </c>
      <c r="O61" s="55">
        <v>8</v>
      </c>
      <c r="P61"/>
      <c r="Q61"/>
    </row>
    <row r="62" spans="4:17">
      <c r="D62" s="40">
        <v>45903</v>
      </c>
      <c r="E62">
        <f>WEEKNUM('Diet Plan Log'!$D62)</f>
        <v>36</v>
      </c>
      <c r="F62" t="s">
        <v>37</v>
      </c>
      <c r="G62" s="60">
        <v>0.5</v>
      </c>
      <c r="H62" t="s">
        <v>51</v>
      </c>
      <c r="I62" s="7">
        <v>150</v>
      </c>
      <c r="J62" s="7">
        <f>_xlfn.XLOOKUP(Table9[[#This Row],[Food Item]], Table1[Food Item], Table1[Protein (g)]) * (Table9[[#This Row],[Quantity(g/ml)]]/100)</f>
        <v>13.5</v>
      </c>
      <c r="K62" s="7">
        <f>_xlfn.XLOOKUP(Table9[[#This Row],[Food Item]], Table1[Food Item], Table1[Carbs (g)] ) * (Table9[[#This Row],[Quantity(g/ml)]]/100)</f>
        <v>30</v>
      </c>
      <c r="L62" s="7">
        <f>_xlfn.XLOOKUP(Table9[[#This Row],[Food Item]], Table1[Food Item], Table1[Fats (g)] ) * (Table9[[#This Row],[Quantity(g/ml)]]/100)</f>
        <v>0.60000000000000009</v>
      </c>
      <c r="M62" s="7">
        <f>_xlfn.XLOOKUP(Table9[[#This Row],[Food Item]], Table1[Food Item], Table1[Fiber (g)]) * (Table9[[#This Row],[Quantity(g/ml)]]/100)</f>
        <v>12</v>
      </c>
      <c r="N62" s="5">
        <f>_xlfn.XLOOKUP(Table9[[#This Row],[Food Item]], Table1[Food Item], Table1[Calories (kcal)]) * (Table9[[#This Row],[Quantity(g/ml)]]/100)</f>
        <v>174</v>
      </c>
      <c r="O62" s="55">
        <v>4.5</v>
      </c>
      <c r="P62"/>
      <c r="Q62"/>
    </row>
    <row r="63" spans="4:17">
      <c r="D63" s="40">
        <v>45903</v>
      </c>
      <c r="E63">
        <f>WEEKNUM('Diet Plan Log'!$D63)</f>
        <v>36</v>
      </c>
      <c r="F63" t="s">
        <v>38</v>
      </c>
      <c r="G63" s="60">
        <v>0.75</v>
      </c>
      <c r="H63" t="s">
        <v>53</v>
      </c>
      <c r="I63" s="7">
        <v>500</v>
      </c>
      <c r="J63" s="7">
        <f>_xlfn.XLOOKUP(Table9[[#This Row],[Food Item]], Table1[Food Item], Table1[Protein (g)]) * (Table9[[#This Row],[Quantity(g/ml)]]/100)</f>
        <v>155</v>
      </c>
      <c r="K63" s="7">
        <f>_xlfn.XLOOKUP(Table9[[#This Row],[Food Item]], Table1[Food Item], Table1[Carbs (g)] ) * (Table9[[#This Row],[Quantity(g/ml)]]/100)</f>
        <v>0</v>
      </c>
      <c r="L63" s="7">
        <f>_xlfn.XLOOKUP(Table9[[#This Row],[Food Item]], Table1[Food Item], Table1[Fats (g)] ) * (Table9[[#This Row],[Quantity(g/ml)]]/100)</f>
        <v>15</v>
      </c>
      <c r="M63" s="7">
        <f>_xlfn.XLOOKUP(Table9[[#This Row],[Food Item]], Table1[Food Item], Table1[Fiber (g)]) * (Table9[[#This Row],[Quantity(g/ml)]]/100)</f>
        <v>0</v>
      </c>
      <c r="N63" s="5">
        <f>_xlfn.XLOOKUP(Table9[[#This Row],[Food Item]], Table1[Food Item], Table1[Calories (kcal)]) * (Table9[[#This Row],[Quantity(g/ml)]]/100)</f>
        <v>825</v>
      </c>
      <c r="O63" s="55">
        <v>7.5</v>
      </c>
      <c r="P63">
        <v>2500</v>
      </c>
      <c r="Q63"/>
    </row>
    <row r="64" spans="4:17">
      <c r="D64" s="40">
        <v>45904</v>
      </c>
      <c r="E64">
        <f>WEEKNUM('Diet Plan Log'!$D64)</f>
        <v>36</v>
      </c>
      <c r="F64" t="s">
        <v>36</v>
      </c>
      <c r="G64" s="60">
        <v>0.33333333333333331</v>
      </c>
      <c r="H64" t="s">
        <v>57</v>
      </c>
      <c r="I64" s="7">
        <v>150</v>
      </c>
      <c r="J64" s="7">
        <f>_xlfn.XLOOKUP(Table9[[#This Row],[Food Item]], Table1[Food Item], Table1[Protein (g)]) * (Table9[[#This Row],[Quantity(g/ml)]]/100)</f>
        <v>19.5</v>
      </c>
      <c r="K64" s="7">
        <f>_xlfn.XLOOKUP(Table9[[#This Row],[Food Item]], Table1[Food Item], Table1[Carbs (g)] ) * (Table9[[#This Row],[Quantity(g/ml)]]/100)</f>
        <v>1.5</v>
      </c>
      <c r="L64" s="7">
        <f>_xlfn.XLOOKUP(Table9[[#This Row],[Food Item]], Table1[Food Item], Table1[Fats (g)] ) * (Table9[[#This Row],[Quantity(g/ml)]]/100)</f>
        <v>16.5</v>
      </c>
      <c r="M64" s="7">
        <f>_xlfn.XLOOKUP(Table9[[#This Row],[Food Item]], Table1[Food Item], Table1[Fiber (g)]) * (Table9[[#This Row],[Quantity(g/ml)]]/100)</f>
        <v>0</v>
      </c>
      <c r="N64" s="5">
        <f>_xlfn.XLOOKUP(Table9[[#This Row],[Food Item]], Table1[Food Item], Table1[Calories (kcal)]) * (Table9[[#This Row],[Quantity(g/ml)]]/100)</f>
        <v>232.5</v>
      </c>
      <c r="O64" s="55">
        <v>8</v>
      </c>
      <c r="P64"/>
      <c r="Q64"/>
    </row>
    <row r="65" spans="4:17">
      <c r="D65" s="40">
        <v>45904</v>
      </c>
      <c r="E65">
        <f>WEEKNUM('Diet Plan Log'!$D65)</f>
        <v>36</v>
      </c>
      <c r="F65" t="s">
        <v>37</v>
      </c>
      <c r="G65" s="60">
        <v>0.5</v>
      </c>
      <c r="H65" t="s">
        <v>51</v>
      </c>
      <c r="I65" s="7">
        <v>150</v>
      </c>
      <c r="J65" s="7">
        <f>_xlfn.XLOOKUP(Table9[[#This Row],[Food Item]], Table1[Food Item], Table1[Protein (g)]) * (Table9[[#This Row],[Quantity(g/ml)]]/100)</f>
        <v>13.5</v>
      </c>
      <c r="K65" s="7">
        <f>_xlfn.XLOOKUP(Table9[[#This Row],[Food Item]], Table1[Food Item], Table1[Carbs (g)] ) * (Table9[[#This Row],[Quantity(g/ml)]]/100)</f>
        <v>30</v>
      </c>
      <c r="L65" s="7">
        <f>_xlfn.XLOOKUP(Table9[[#This Row],[Food Item]], Table1[Food Item], Table1[Fats (g)] ) * (Table9[[#This Row],[Quantity(g/ml)]]/100)</f>
        <v>0.60000000000000009</v>
      </c>
      <c r="M65" s="7">
        <f>_xlfn.XLOOKUP(Table9[[#This Row],[Food Item]], Table1[Food Item], Table1[Fiber (g)]) * (Table9[[#This Row],[Quantity(g/ml)]]/100)</f>
        <v>12</v>
      </c>
      <c r="N65" s="5">
        <f>_xlfn.XLOOKUP(Table9[[#This Row],[Food Item]], Table1[Food Item], Table1[Calories (kcal)]) * (Table9[[#This Row],[Quantity(g/ml)]]/100)</f>
        <v>174</v>
      </c>
      <c r="O65" s="55"/>
      <c r="P65"/>
      <c r="Q65"/>
    </row>
    <row r="66" spans="4:17">
      <c r="D66" s="40">
        <v>45904</v>
      </c>
      <c r="E66">
        <f>WEEKNUM('Diet Plan Log'!$D66)</f>
        <v>36</v>
      </c>
      <c r="F66" t="s">
        <v>38</v>
      </c>
      <c r="G66" s="60">
        <v>0.75</v>
      </c>
      <c r="H66" t="s">
        <v>53</v>
      </c>
      <c r="I66" s="7">
        <v>500</v>
      </c>
      <c r="J66" s="7">
        <f>_xlfn.XLOOKUP(Table9[[#This Row],[Food Item]], Table1[Food Item], Table1[Protein (g)]) * (Table9[[#This Row],[Quantity(g/ml)]]/100)</f>
        <v>155</v>
      </c>
      <c r="K66" s="7">
        <f>_xlfn.XLOOKUP(Table9[[#This Row],[Food Item]], Table1[Food Item], Table1[Carbs (g)] ) * (Table9[[#This Row],[Quantity(g/ml)]]/100)</f>
        <v>0</v>
      </c>
      <c r="L66" s="7">
        <f>_xlfn.XLOOKUP(Table9[[#This Row],[Food Item]], Table1[Food Item], Table1[Fats (g)] ) * (Table9[[#This Row],[Quantity(g/ml)]]/100)</f>
        <v>15</v>
      </c>
      <c r="M66" s="7">
        <f>_xlfn.XLOOKUP(Table9[[#This Row],[Food Item]], Table1[Food Item], Table1[Fiber (g)]) * (Table9[[#This Row],[Quantity(g/ml)]]/100)</f>
        <v>0</v>
      </c>
      <c r="N66" s="5">
        <f>_xlfn.XLOOKUP(Table9[[#This Row],[Food Item]], Table1[Food Item], Table1[Calories (kcal)]) * (Table9[[#This Row],[Quantity(g/ml)]]/100)</f>
        <v>825</v>
      </c>
      <c r="O66" s="55"/>
      <c r="P66">
        <v>2500</v>
      </c>
      <c r="Q66"/>
    </row>
    <row r="67" spans="4:17">
      <c r="D67" s="40">
        <v>45905</v>
      </c>
      <c r="E67">
        <f>WEEKNUM('Diet Plan Log'!$D67)</f>
        <v>36</v>
      </c>
      <c r="F67" t="s">
        <v>36</v>
      </c>
      <c r="G67" s="60">
        <v>0.33333333333333331</v>
      </c>
      <c r="H67" t="s">
        <v>57</v>
      </c>
      <c r="I67" s="7">
        <v>150</v>
      </c>
      <c r="J67" s="7">
        <f>_xlfn.XLOOKUP(Table9[[#This Row],[Food Item]], Table1[Food Item], Table1[Protein (g)]) * (Table9[[#This Row],[Quantity(g/ml)]]/100)</f>
        <v>19.5</v>
      </c>
      <c r="K67" s="7">
        <f>_xlfn.XLOOKUP(Table9[[#This Row],[Food Item]], Table1[Food Item], Table1[Carbs (g)] ) * (Table9[[#This Row],[Quantity(g/ml)]]/100)</f>
        <v>1.5</v>
      </c>
      <c r="L67" s="7">
        <f>_xlfn.XLOOKUP(Table9[[#This Row],[Food Item]], Table1[Food Item], Table1[Fats (g)] ) * (Table9[[#This Row],[Quantity(g/ml)]]/100)</f>
        <v>16.5</v>
      </c>
      <c r="M67" s="7">
        <f>_xlfn.XLOOKUP(Table9[[#This Row],[Food Item]], Table1[Food Item], Table1[Fiber (g)]) * (Table9[[#This Row],[Quantity(g/ml)]]/100)</f>
        <v>0</v>
      </c>
      <c r="N67" s="5">
        <f>_xlfn.XLOOKUP(Table9[[#This Row],[Food Item]], Table1[Food Item], Table1[Calories (kcal)]) * (Table9[[#This Row],[Quantity(g/ml)]]/100)</f>
        <v>232.5</v>
      </c>
      <c r="O67" s="55">
        <v>8</v>
      </c>
      <c r="P67"/>
      <c r="Q67"/>
    </row>
    <row r="68" spans="4:17">
      <c r="D68" s="40">
        <v>45905</v>
      </c>
      <c r="E68">
        <f>WEEKNUM('Diet Plan Log'!$D68)</f>
        <v>36</v>
      </c>
      <c r="F68" t="s">
        <v>37</v>
      </c>
      <c r="G68" s="60">
        <v>0.5</v>
      </c>
      <c r="H68" t="s">
        <v>51</v>
      </c>
      <c r="I68" s="7">
        <v>150</v>
      </c>
      <c r="J68" s="7">
        <f>_xlfn.XLOOKUP(Table9[[#This Row],[Food Item]], Table1[Food Item], Table1[Protein (g)]) * (Table9[[#This Row],[Quantity(g/ml)]]/100)</f>
        <v>13.5</v>
      </c>
      <c r="K68" s="7">
        <f>_xlfn.XLOOKUP(Table9[[#This Row],[Food Item]], Table1[Food Item], Table1[Carbs (g)] ) * (Table9[[#This Row],[Quantity(g/ml)]]/100)</f>
        <v>30</v>
      </c>
      <c r="L68" s="7">
        <f>_xlfn.XLOOKUP(Table9[[#This Row],[Food Item]], Table1[Food Item], Table1[Fats (g)] ) * (Table9[[#This Row],[Quantity(g/ml)]]/100)</f>
        <v>0.60000000000000009</v>
      </c>
      <c r="M68" s="7">
        <f>_xlfn.XLOOKUP(Table9[[#This Row],[Food Item]], Table1[Food Item], Table1[Fiber (g)]) * (Table9[[#This Row],[Quantity(g/ml)]]/100)</f>
        <v>12</v>
      </c>
      <c r="N68" s="5">
        <f>_xlfn.XLOOKUP(Table9[[#This Row],[Food Item]], Table1[Food Item], Table1[Calories (kcal)]) * (Table9[[#This Row],[Quantity(g/ml)]]/100)</f>
        <v>174</v>
      </c>
      <c r="O68" s="55"/>
      <c r="P68"/>
      <c r="Q68"/>
    </row>
    <row r="69" spans="4:17">
      <c r="D69" s="40">
        <v>45905</v>
      </c>
      <c r="E69">
        <f>WEEKNUM('Diet Plan Log'!$D69)</f>
        <v>36</v>
      </c>
      <c r="F69" t="s">
        <v>38</v>
      </c>
      <c r="G69" s="60">
        <v>0.75</v>
      </c>
      <c r="H69" t="s">
        <v>53</v>
      </c>
      <c r="I69" s="7">
        <v>500</v>
      </c>
      <c r="J69" s="7">
        <f>_xlfn.XLOOKUP(Table9[[#This Row],[Food Item]], Table1[Food Item], Table1[Protein (g)]) * (Table9[[#This Row],[Quantity(g/ml)]]/100)</f>
        <v>155</v>
      </c>
      <c r="K69" s="7">
        <f>_xlfn.XLOOKUP(Table9[[#This Row],[Food Item]], Table1[Food Item], Table1[Carbs (g)] ) * (Table9[[#This Row],[Quantity(g/ml)]]/100)</f>
        <v>0</v>
      </c>
      <c r="L69" s="7">
        <f>_xlfn.XLOOKUP(Table9[[#This Row],[Food Item]], Table1[Food Item], Table1[Fats (g)] ) * (Table9[[#This Row],[Quantity(g/ml)]]/100)</f>
        <v>15</v>
      </c>
      <c r="M69" s="7">
        <f>_xlfn.XLOOKUP(Table9[[#This Row],[Food Item]], Table1[Food Item], Table1[Fiber (g)]) * (Table9[[#This Row],[Quantity(g/ml)]]/100)</f>
        <v>0</v>
      </c>
      <c r="N69" s="5">
        <f>_xlfn.XLOOKUP(Table9[[#This Row],[Food Item]], Table1[Food Item], Table1[Calories (kcal)]) * (Table9[[#This Row],[Quantity(g/ml)]]/100)</f>
        <v>825</v>
      </c>
      <c r="O69" s="55"/>
      <c r="P69">
        <v>2500</v>
      </c>
      <c r="Q69"/>
    </row>
  </sheetData>
  <conditionalFormatting sqref="P8:P69">
    <cfRule type="expression" dxfId="40" priority="5">
      <formula>AND($P8&gt;=1000, $P8&lt;2000)</formula>
    </cfRule>
    <cfRule type="expression" dxfId="39" priority="6">
      <formula>$P8&gt;=2000</formula>
    </cfRule>
    <cfRule type="expression" dxfId="38" priority="14">
      <formula>$P8&lt;1000</formula>
    </cfRule>
  </conditionalFormatting>
  <conditionalFormatting sqref="N8:N69">
    <cfRule type="expression" dxfId="37" priority="81">
      <formula>$N8&gt;$I$5</formula>
    </cfRule>
  </conditionalFormatting>
  <conditionalFormatting sqref="O8:O69">
    <cfRule type="dataBar" priority="1">
      <dataBar>
        <cfvo type="min"/>
        <cfvo type="max"/>
        <color rgb="FF63C384"/>
      </dataBar>
      <extLst>
        <ext xmlns:x14="http://schemas.microsoft.com/office/spreadsheetml/2009/9/main" uri="{B025F937-C7B1-47D3-B67F-A62EFF666E3E}">
          <x14:id>{AFE39F6F-F437-4827-9045-18D2BA71AA27}</x14:id>
        </ext>
      </extLst>
    </cfRule>
  </conditionalFormatting>
  <dataValidations count="2">
    <dataValidation type="date" allowBlank="1" showInputMessage="1" showErrorMessage="1" sqref="D49:D51 D8:D9" xr:uid="{C1B19DAB-B1F0-41E7-A0F7-C1EE2C9D9D29}">
      <formula1>45658</formula1>
      <formula2>47118</formula2>
    </dataValidation>
    <dataValidation type="list" allowBlank="1" showInputMessage="1" showErrorMessage="1" sqref="F7:F69" xr:uid="{0CA1C38D-76BF-4533-A057-51C4AA35D024}">
      <formula1>"Breakfast,Lunch,Dinner,Snack"</formula1>
    </dataValidation>
  </dataValidations>
  <pageMargins left="0.7" right="0.7" top="0.75" bottom="0.75" header="0.3" footer="0.3"/>
  <ignoredErrors>
    <ignoredError sqref="F7:F38 H7:H42 F40" listDataValidation="1"/>
  </ignoredErrors>
  <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AFE39F6F-F437-4827-9045-18D2BA71AA27}">
            <x14:dataBar minLength="0" maxLength="100" gradient="0">
              <x14:cfvo type="autoMin"/>
              <x14:cfvo type="autoMax"/>
              <x14:negativeFillColor rgb="FFFF0000"/>
              <x14:axisColor rgb="FF000000"/>
            </x14:dataBar>
          </x14:cfRule>
          <xm:sqref>O8:O69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CA3C0D5-703A-4A44-A171-AC8787D520B1}">
          <x14:formula1>
            <xm:f>FoodDB!$D$8:$D$27</xm:f>
          </x14:formula1>
          <xm:sqref>H7:H69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58845-69D6-4BF3-BFB8-C59CA226B9CD}">
  <sheetPr codeName="Sheet5"/>
  <dimension ref="D6:G34"/>
  <sheetViews>
    <sheetView showGridLines="0" workbookViewId="0">
      <selection activeCell="N25" sqref="N25"/>
    </sheetView>
  </sheetViews>
  <sheetFormatPr defaultRowHeight="13.8"/>
  <cols>
    <col min="1" max="3" width="10.19921875" style="8" customWidth="1"/>
    <col min="4" max="4" width="18.69921875" style="20" customWidth="1"/>
    <col min="5" max="5" width="20.296875" style="20" customWidth="1"/>
    <col min="6" max="6" width="26.59765625" style="20" customWidth="1"/>
    <col min="7" max="7" width="31.69921875" style="20" customWidth="1"/>
    <col min="8" max="16384" width="8.796875" style="8"/>
  </cols>
  <sheetData>
    <row r="6" spans="4:7">
      <c r="D6" t="s">
        <v>79</v>
      </c>
      <c r="E6" t="s">
        <v>80</v>
      </c>
      <c r="F6" t="s">
        <v>81</v>
      </c>
      <c r="G6" t="s">
        <v>25</v>
      </c>
    </row>
    <row r="7" spans="4:7">
      <c r="D7" t="s">
        <v>12</v>
      </c>
      <c r="E7" t="s">
        <v>15</v>
      </c>
      <c r="F7">
        <v>6</v>
      </c>
      <c r="G7" t="s">
        <v>82</v>
      </c>
    </row>
    <row r="8" spans="4:7">
      <c r="D8" t="s">
        <v>12</v>
      </c>
      <c r="E8" t="s">
        <v>16</v>
      </c>
      <c r="F8">
        <v>5</v>
      </c>
      <c r="G8" t="s">
        <v>83</v>
      </c>
    </row>
    <row r="9" spans="4:7">
      <c r="D9" t="s">
        <v>12</v>
      </c>
      <c r="E9" t="s">
        <v>18</v>
      </c>
      <c r="F9">
        <v>6</v>
      </c>
      <c r="G9" t="s">
        <v>84</v>
      </c>
    </row>
    <row r="10" spans="4:7">
      <c r="D10" t="s">
        <v>12</v>
      </c>
      <c r="E10" t="s">
        <v>85</v>
      </c>
      <c r="F10">
        <v>8</v>
      </c>
      <c r="G10" t="s">
        <v>86</v>
      </c>
    </row>
    <row r="11" spans="4:7">
      <c r="D11" t="s">
        <v>12</v>
      </c>
      <c r="E11" t="s">
        <v>21</v>
      </c>
      <c r="F11">
        <v>4</v>
      </c>
      <c r="G11" t="s">
        <v>87</v>
      </c>
    </row>
    <row r="12" spans="4:7">
      <c r="D12" t="s">
        <v>12</v>
      </c>
      <c r="E12" t="s">
        <v>88</v>
      </c>
      <c r="F12">
        <v>5.5</v>
      </c>
      <c r="G12" t="s">
        <v>89</v>
      </c>
    </row>
    <row r="13" spans="4:7">
      <c r="D13" t="s">
        <v>12</v>
      </c>
      <c r="E13" t="s">
        <v>90</v>
      </c>
      <c r="F13">
        <v>5</v>
      </c>
      <c r="G13" t="s">
        <v>91</v>
      </c>
    </row>
    <row r="14" spans="4:7">
      <c r="D14" t="s">
        <v>12</v>
      </c>
      <c r="E14" t="s">
        <v>92</v>
      </c>
      <c r="F14">
        <v>5</v>
      </c>
      <c r="G14" t="s">
        <v>93</v>
      </c>
    </row>
    <row r="15" spans="4:7">
      <c r="D15" t="s">
        <v>12</v>
      </c>
      <c r="E15" t="s">
        <v>94</v>
      </c>
      <c r="F15">
        <v>3.5</v>
      </c>
      <c r="G15" t="s">
        <v>95</v>
      </c>
    </row>
    <row r="16" spans="4:7">
      <c r="D16" t="s">
        <v>12</v>
      </c>
      <c r="E16" t="s">
        <v>96</v>
      </c>
      <c r="F16">
        <v>4</v>
      </c>
      <c r="G16" t="s">
        <v>97</v>
      </c>
    </row>
    <row r="17" spans="4:7">
      <c r="D17" t="s">
        <v>12</v>
      </c>
      <c r="E17" t="s">
        <v>98</v>
      </c>
      <c r="F17">
        <v>5</v>
      </c>
      <c r="G17" t="s">
        <v>99</v>
      </c>
    </row>
    <row r="18" spans="4:7">
      <c r="D18" t="s">
        <v>12</v>
      </c>
      <c r="E18" t="s">
        <v>100</v>
      </c>
      <c r="F18">
        <v>3.5</v>
      </c>
      <c r="G18" t="s">
        <v>101</v>
      </c>
    </row>
    <row r="19" spans="4:7">
      <c r="D19" t="s">
        <v>13</v>
      </c>
      <c r="E19" t="s">
        <v>102</v>
      </c>
      <c r="F19">
        <v>9.8000000000000007</v>
      </c>
      <c r="G19" t="s">
        <v>103</v>
      </c>
    </row>
    <row r="20" spans="4:7">
      <c r="D20" t="s">
        <v>13</v>
      </c>
      <c r="E20" t="s">
        <v>104</v>
      </c>
      <c r="F20">
        <v>4.3</v>
      </c>
      <c r="G20" t="s">
        <v>105</v>
      </c>
    </row>
    <row r="21" spans="4:7">
      <c r="D21" t="s">
        <v>13</v>
      </c>
      <c r="E21" t="s">
        <v>106</v>
      </c>
      <c r="F21">
        <v>7.5</v>
      </c>
      <c r="G21" t="s">
        <v>107</v>
      </c>
    </row>
    <row r="22" spans="4:7">
      <c r="D22" t="s">
        <v>13</v>
      </c>
      <c r="E22" t="s">
        <v>23</v>
      </c>
      <c r="F22">
        <v>8</v>
      </c>
      <c r="G22" t="s">
        <v>108</v>
      </c>
    </row>
    <row r="23" spans="4:7">
      <c r="D23" t="s">
        <v>13</v>
      </c>
      <c r="E23" t="s">
        <v>19</v>
      </c>
      <c r="F23">
        <v>11</v>
      </c>
      <c r="G23" t="s">
        <v>109</v>
      </c>
    </row>
    <row r="24" spans="4:7">
      <c r="D24" t="s">
        <v>13</v>
      </c>
      <c r="E24" t="s">
        <v>22</v>
      </c>
      <c r="F24">
        <v>7</v>
      </c>
      <c r="G24" t="s">
        <v>110</v>
      </c>
    </row>
    <row r="25" spans="4:7">
      <c r="D25" t="s">
        <v>13</v>
      </c>
      <c r="E25" t="s">
        <v>111</v>
      </c>
      <c r="F25">
        <v>10</v>
      </c>
      <c r="G25" t="s">
        <v>112</v>
      </c>
    </row>
    <row r="26" spans="4:7">
      <c r="D26" t="s">
        <v>13</v>
      </c>
      <c r="E26" t="s">
        <v>113</v>
      </c>
      <c r="F26">
        <v>6</v>
      </c>
      <c r="G26" t="s">
        <v>114</v>
      </c>
    </row>
    <row r="27" spans="4:7">
      <c r="D27" t="s">
        <v>11</v>
      </c>
      <c r="E27" t="s">
        <v>115</v>
      </c>
      <c r="F27">
        <v>2.5</v>
      </c>
      <c r="G27" t="s">
        <v>116</v>
      </c>
    </row>
    <row r="28" spans="4:7">
      <c r="D28" t="s">
        <v>11</v>
      </c>
      <c r="E28" t="s">
        <v>117</v>
      </c>
      <c r="F28">
        <v>4</v>
      </c>
      <c r="G28" t="s">
        <v>118</v>
      </c>
    </row>
    <row r="29" spans="4:7">
      <c r="D29" t="s">
        <v>11</v>
      </c>
      <c r="E29" t="s">
        <v>20</v>
      </c>
      <c r="F29">
        <v>3</v>
      </c>
      <c r="G29" t="s">
        <v>119</v>
      </c>
    </row>
    <row r="30" spans="4:7">
      <c r="D30" t="s">
        <v>11</v>
      </c>
      <c r="E30" t="s">
        <v>17</v>
      </c>
      <c r="F30">
        <v>2.2999999999999998</v>
      </c>
      <c r="G30" t="s">
        <v>120</v>
      </c>
    </row>
    <row r="31" spans="4:7">
      <c r="D31" t="s">
        <v>11</v>
      </c>
      <c r="E31" t="s">
        <v>121</v>
      </c>
      <c r="F31">
        <v>3</v>
      </c>
      <c r="G31" t="s">
        <v>122</v>
      </c>
    </row>
    <row r="32" spans="4:7">
      <c r="D32" t="s">
        <v>11</v>
      </c>
      <c r="E32" t="s">
        <v>24</v>
      </c>
      <c r="F32">
        <v>3.5</v>
      </c>
      <c r="G32" t="s">
        <v>123</v>
      </c>
    </row>
    <row r="33" spans="4:7">
      <c r="D33" t="s">
        <v>124</v>
      </c>
      <c r="E33" t="s">
        <v>125</v>
      </c>
      <c r="F33">
        <v>1</v>
      </c>
      <c r="G33" t="s">
        <v>126</v>
      </c>
    </row>
    <row r="34" spans="4:7">
      <c r="D34" t="s">
        <v>124</v>
      </c>
      <c r="E34" t="s">
        <v>127</v>
      </c>
      <c r="F34">
        <v>2</v>
      </c>
      <c r="G34" t="s">
        <v>128</v>
      </c>
    </row>
  </sheetData>
  <phoneticPr fontId="2" type="noConversion"/>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25BB3-A002-49EE-9E1E-233C42B1C61B}">
  <sheetPr codeName="Sheet8"/>
  <dimension ref="D7:J27"/>
  <sheetViews>
    <sheetView showGridLines="0" zoomScaleNormal="100" workbookViewId="0">
      <selection activeCell="J11" sqref="J11"/>
    </sheetView>
  </sheetViews>
  <sheetFormatPr defaultRowHeight="13.8"/>
  <cols>
    <col min="1" max="2" width="8.796875" style="8"/>
    <col min="3" max="3" width="11.3984375" style="8" customWidth="1"/>
    <col min="4" max="4" width="31.5" style="8" customWidth="1"/>
    <col min="5" max="5" width="18.59765625" style="8" customWidth="1"/>
    <col min="6" max="6" width="14.5" style="8" customWidth="1"/>
    <col min="7" max="7" width="14.296875" style="8" customWidth="1"/>
    <col min="8" max="8" width="14.8984375" style="8" customWidth="1"/>
    <col min="9" max="9" width="13.5" style="8" customWidth="1"/>
    <col min="10" max="10" width="15.796875" style="8" customWidth="1"/>
    <col min="11" max="16384" width="8.796875" style="8"/>
  </cols>
  <sheetData>
    <row r="7" spans="4:10">
      <c r="D7" t="s">
        <v>32</v>
      </c>
      <c r="E7" t="s">
        <v>8</v>
      </c>
      <c r="F7" t="s">
        <v>33</v>
      </c>
      <c r="G7" t="s">
        <v>34</v>
      </c>
      <c r="H7" t="s">
        <v>35</v>
      </c>
      <c r="I7" t="s">
        <v>48</v>
      </c>
      <c r="J7" t="s">
        <v>163</v>
      </c>
    </row>
    <row r="8" spans="4:10">
      <c r="D8" t="s">
        <v>53</v>
      </c>
      <c r="E8" t="s">
        <v>54</v>
      </c>
      <c r="F8">
        <v>31</v>
      </c>
      <c r="G8">
        <v>0</v>
      </c>
      <c r="H8">
        <v>3</v>
      </c>
      <c r="I8">
        <v>0</v>
      </c>
      <c r="J8">
        <v>165</v>
      </c>
    </row>
    <row r="9" spans="4:10">
      <c r="D9" t="s">
        <v>55</v>
      </c>
      <c r="E9" t="s">
        <v>54</v>
      </c>
      <c r="F9">
        <v>26</v>
      </c>
      <c r="G9">
        <v>0</v>
      </c>
      <c r="H9">
        <v>10</v>
      </c>
      <c r="I9">
        <v>0</v>
      </c>
      <c r="J9">
        <v>250</v>
      </c>
    </row>
    <row r="10" spans="4:10">
      <c r="D10" t="s">
        <v>56</v>
      </c>
      <c r="E10" t="s">
        <v>54</v>
      </c>
      <c r="F10">
        <v>25</v>
      </c>
      <c r="G10">
        <v>0</v>
      </c>
      <c r="H10">
        <v>13</v>
      </c>
      <c r="I10">
        <v>0</v>
      </c>
      <c r="J10">
        <v>208</v>
      </c>
    </row>
    <row r="11" spans="4:10">
      <c r="D11" t="s">
        <v>57</v>
      </c>
      <c r="E11" t="s">
        <v>58</v>
      </c>
      <c r="F11">
        <v>13</v>
      </c>
      <c r="G11">
        <v>1</v>
      </c>
      <c r="H11">
        <v>11</v>
      </c>
      <c r="I11">
        <v>0</v>
      </c>
      <c r="J11">
        <v>155</v>
      </c>
    </row>
    <row r="12" spans="4:10">
      <c r="D12" t="s">
        <v>59</v>
      </c>
      <c r="E12" t="s">
        <v>60</v>
      </c>
      <c r="F12">
        <v>10</v>
      </c>
      <c r="G12">
        <v>5</v>
      </c>
      <c r="H12">
        <v>3</v>
      </c>
      <c r="I12">
        <v>0</v>
      </c>
      <c r="J12">
        <v>80</v>
      </c>
    </row>
    <row r="13" spans="4:10">
      <c r="D13" t="s">
        <v>61</v>
      </c>
      <c r="E13" t="s">
        <v>60</v>
      </c>
      <c r="F13">
        <v>3</v>
      </c>
      <c r="G13">
        <v>5</v>
      </c>
      <c r="H13">
        <v>1</v>
      </c>
      <c r="I13">
        <v>0</v>
      </c>
      <c r="J13">
        <v>42</v>
      </c>
    </row>
    <row r="14" spans="4:10">
      <c r="D14" t="s">
        <v>51</v>
      </c>
      <c r="E14" t="s">
        <v>62</v>
      </c>
      <c r="F14">
        <v>9</v>
      </c>
      <c r="G14">
        <v>20</v>
      </c>
      <c r="H14">
        <v>0.4</v>
      </c>
      <c r="I14">
        <v>8</v>
      </c>
      <c r="J14">
        <v>116</v>
      </c>
    </row>
    <row r="15" spans="4:10">
      <c r="D15" t="s">
        <v>63</v>
      </c>
      <c r="E15" t="s">
        <v>62</v>
      </c>
      <c r="F15">
        <v>9</v>
      </c>
      <c r="G15">
        <v>27</v>
      </c>
      <c r="H15">
        <v>3</v>
      </c>
      <c r="I15">
        <v>8</v>
      </c>
      <c r="J15">
        <v>164</v>
      </c>
    </row>
    <row r="16" spans="4:10">
      <c r="D16" t="s">
        <v>64</v>
      </c>
      <c r="E16" t="s">
        <v>65</v>
      </c>
      <c r="F16">
        <v>2.6</v>
      </c>
      <c r="G16">
        <v>23</v>
      </c>
      <c r="H16">
        <v>0.9</v>
      </c>
      <c r="I16">
        <v>2</v>
      </c>
      <c r="J16">
        <v>111</v>
      </c>
    </row>
    <row r="17" spans="4:10">
      <c r="D17" t="s">
        <v>66</v>
      </c>
      <c r="E17" t="s">
        <v>65</v>
      </c>
      <c r="F17">
        <v>13</v>
      </c>
      <c r="G17">
        <v>49</v>
      </c>
      <c r="H17">
        <v>4</v>
      </c>
      <c r="I17">
        <v>7</v>
      </c>
      <c r="J17">
        <v>247</v>
      </c>
    </row>
    <row r="18" spans="4:10">
      <c r="D18" t="s">
        <v>67</v>
      </c>
      <c r="E18" t="s">
        <v>65</v>
      </c>
      <c r="F18">
        <v>17</v>
      </c>
      <c r="G18">
        <v>66</v>
      </c>
      <c r="H18">
        <v>7</v>
      </c>
      <c r="I18">
        <v>10</v>
      </c>
      <c r="J18">
        <v>389</v>
      </c>
    </row>
    <row r="19" spans="4:10">
      <c r="D19" t="s">
        <v>68</v>
      </c>
      <c r="E19" t="s">
        <v>69</v>
      </c>
      <c r="F19">
        <v>0.3</v>
      </c>
      <c r="G19">
        <v>14</v>
      </c>
      <c r="H19">
        <v>0.2</v>
      </c>
      <c r="I19">
        <v>2</v>
      </c>
      <c r="J19">
        <v>52</v>
      </c>
    </row>
    <row r="20" spans="4:10">
      <c r="D20" t="s">
        <v>70</v>
      </c>
      <c r="E20" t="s">
        <v>69</v>
      </c>
      <c r="F20">
        <v>1.1000000000000001</v>
      </c>
      <c r="G20">
        <v>23</v>
      </c>
      <c r="H20">
        <v>0.3</v>
      </c>
      <c r="I20">
        <v>3</v>
      </c>
      <c r="J20">
        <v>96</v>
      </c>
    </row>
    <row r="21" spans="4:10">
      <c r="D21" t="s">
        <v>71</v>
      </c>
      <c r="E21" t="s">
        <v>69</v>
      </c>
      <c r="F21">
        <v>0.7</v>
      </c>
      <c r="G21">
        <v>14</v>
      </c>
      <c r="H21">
        <v>0.3</v>
      </c>
      <c r="I21">
        <v>2.4</v>
      </c>
      <c r="J21">
        <v>57</v>
      </c>
    </row>
    <row r="22" spans="4:10">
      <c r="D22" t="s">
        <v>72</v>
      </c>
      <c r="E22" t="s">
        <v>73</v>
      </c>
      <c r="F22">
        <v>0.9</v>
      </c>
      <c r="G22">
        <v>10</v>
      </c>
      <c r="H22">
        <v>0.2</v>
      </c>
      <c r="I22">
        <v>3</v>
      </c>
      <c r="J22">
        <v>41</v>
      </c>
    </row>
    <row r="23" spans="4:10">
      <c r="D23" t="s">
        <v>74</v>
      </c>
      <c r="E23" t="s">
        <v>73</v>
      </c>
      <c r="F23">
        <v>0.6</v>
      </c>
      <c r="G23">
        <v>4</v>
      </c>
      <c r="H23">
        <v>0.1</v>
      </c>
      <c r="I23">
        <v>0.5</v>
      </c>
      <c r="J23">
        <v>16</v>
      </c>
    </row>
    <row r="24" spans="4:10">
      <c r="D24" t="s">
        <v>75</v>
      </c>
      <c r="E24" t="s">
        <v>73</v>
      </c>
      <c r="F24">
        <v>2.9</v>
      </c>
      <c r="G24">
        <v>3.6</v>
      </c>
      <c r="H24">
        <v>0.4</v>
      </c>
      <c r="I24">
        <v>2.2000000000000002</v>
      </c>
      <c r="J24">
        <v>23</v>
      </c>
    </row>
    <row r="25" spans="4:10">
      <c r="D25" t="s">
        <v>76</v>
      </c>
      <c r="E25" t="s">
        <v>73</v>
      </c>
      <c r="F25">
        <v>2.8</v>
      </c>
      <c r="G25">
        <v>7</v>
      </c>
      <c r="H25">
        <v>0.4</v>
      </c>
      <c r="I25">
        <v>2.6</v>
      </c>
      <c r="J25">
        <v>35</v>
      </c>
    </row>
    <row r="26" spans="4:10">
      <c r="D26" t="s">
        <v>49</v>
      </c>
      <c r="E26" t="s">
        <v>77</v>
      </c>
      <c r="F26">
        <v>15</v>
      </c>
      <c r="G26">
        <v>14</v>
      </c>
      <c r="H26">
        <v>65</v>
      </c>
      <c r="I26">
        <v>7</v>
      </c>
      <c r="J26">
        <v>654</v>
      </c>
    </row>
    <row r="27" spans="4:10">
      <c r="D27" t="s">
        <v>50</v>
      </c>
      <c r="E27" t="s">
        <v>77</v>
      </c>
      <c r="F27">
        <v>21</v>
      </c>
      <c r="G27">
        <v>22</v>
      </c>
      <c r="H27">
        <v>49</v>
      </c>
      <c r="I27">
        <v>12</v>
      </c>
      <c r="J27">
        <v>579</v>
      </c>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0BA86-E329-47EA-979A-F479D31BF434}">
  <sheetPr codeName="Sheet9"/>
  <dimension ref="E2:O91"/>
  <sheetViews>
    <sheetView workbookViewId="0">
      <selection activeCell="O36" sqref="O36"/>
    </sheetView>
  </sheetViews>
  <sheetFormatPr defaultRowHeight="13.8"/>
  <cols>
    <col min="5" max="5" width="11.8984375" bestFit="1" customWidth="1"/>
    <col min="6" max="6" width="9.296875" bestFit="1" customWidth="1"/>
    <col min="7" max="7" width="10.59765625" bestFit="1" customWidth="1"/>
    <col min="8" max="8" width="8.09765625" bestFit="1" customWidth="1"/>
    <col min="9" max="9" width="7.296875" bestFit="1" customWidth="1"/>
    <col min="10" max="11" width="10.09765625" bestFit="1" customWidth="1"/>
    <col min="12" max="12" width="11.8984375" bestFit="1" customWidth="1"/>
    <col min="13" max="13" width="18.3984375" bestFit="1" customWidth="1"/>
    <col min="14" max="14" width="15.19921875" bestFit="1" customWidth="1"/>
    <col min="15" max="15" width="16" bestFit="1" customWidth="1"/>
    <col min="16" max="16" width="7.296875" bestFit="1" customWidth="1"/>
    <col min="17" max="17" width="10.09765625" bestFit="1" customWidth="1"/>
  </cols>
  <sheetData>
    <row r="2" spans="5:6">
      <c r="E2" s="2" t="s">
        <v>0</v>
      </c>
      <c r="F2" t="s">
        <v>155</v>
      </c>
    </row>
    <row r="3" spans="5:6">
      <c r="E3" s="43">
        <v>45888</v>
      </c>
      <c r="F3" s="1">
        <v>72</v>
      </c>
    </row>
    <row r="4" spans="5:6">
      <c r="E4" s="43">
        <v>45889</v>
      </c>
      <c r="F4" s="1">
        <v>72</v>
      </c>
    </row>
    <row r="5" spans="5:6">
      <c r="E5" s="43">
        <v>45890</v>
      </c>
      <c r="F5" s="1">
        <v>72</v>
      </c>
    </row>
    <row r="6" spans="5:6">
      <c r="E6" s="43">
        <v>45891</v>
      </c>
      <c r="F6" s="1">
        <v>69</v>
      </c>
    </row>
    <row r="7" spans="5:6">
      <c r="E7" s="43">
        <v>45892</v>
      </c>
      <c r="F7" s="1">
        <v>69</v>
      </c>
    </row>
    <row r="8" spans="5:6">
      <c r="E8" s="43">
        <v>45893</v>
      </c>
      <c r="F8" s="1">
        <v>69</v>
      </c>
    </row>
    <row r="9" spans="5:6">
      <c r="E9" s="43">
        <v>45894</v>
      </c>
      <c r="F9" s="1">
        <v>69.2</v>
      </c>
    </row>
    <row r="10" spans="5:6">
      <c r="E10" s="43">
        <v>45895</v>
      </c>
      <c r="F10" s="1">
        <v>69.2</v>
      </c>
    </row>
    <row r="11" spans="5:6">
      <c r="E11" s="43">
        <v>45896</v>
      </c>
      <c r="F11" s="1">
        <v>68.5</v>
      </c>
    </row>
    <row r="12" spans="5:6">
      <c r="E12" s="43">
        <v>45897</v>
      </c>
      <c r="F12" s="1">
        <v>68.5</v>
      </c>
    </row>
    <row r="13" spans="5:6">
      <c r="E13" s="43">
        <v>45898</v>
      </c>
      <c r="F13" s="1">
        <v>63.9</v>
      </c>
    </row>
    <row r="14" spans="5:6">
      <c r="E14" s="43">
        <v>45899</v>
      </c>
      <c r="F14" s="1">
        <v>63.9</v>
      </c>
    </row>
    <row r="15" spans="5:6">
      <c r="E15" s="43">
        <v>45900</v>
      </c>
      <c r="F15" s="1">
        <v>62.3</v>
      </c>
    </row>
    <row r="16" spans="5:6">
      <c r="E16" s="43">
        <v>45901</v>
      </c>
      <c r="F16" s="1">
        <v>62.3</v>
      </c>
    </row>
    <row r="17" spans="5:6">
      <c r="E17" s="43">
        <v>45902</v>
      </c>
      <c r="F17" s="1">
        <v>61.4</v>
      </c>
    </row>
    <row r="18" spans="5:6">
      <c r="E18" s="43">
        <v>45903</v>
      </c>
      <c r="F18" s="1">
        <v>61.4</v>
      </c>
    </row>
    <row r="19" spans="5:6">
      <c r="E19" s="43">
        <v>45904</v>
      </c>
      <c r="F19" s="1">
        <v>58</v>
      </c>
    </row>
    <row r="20" spans="5:6">
      <c r="E20" s="43">
        <v>45905</v>
      </c>
      <c r="F20" s="1">
        <v>58</v>
      </c>
    </row>
    <row r="21" spans="5:6">
      <c r="E21" s="43" t="s">
        <v>42</v>
      </c>
      <c r="F21" s="1">
        <v>66.088888888888889</v>
      </c>
    </row>
    <row r="29" spans="5:6">
      <c r="E29" s="2" t="s">
        <v>161</v>
      </c>
      <c r="F29" t="s">
        <v>156</v>
      </c>
    </row>
    <row r="30" spans="5:6">
      <c r="E30" s="6">
        <v>34</v>
      </c>
      <c r="F30" s="5">
        <v>225</v>
      </c>
    </row>
    <row r="31" spans="5:6">
      <c r="E31" s="6">
        <v>35</v>
      </c>
      <c r="F31" s="5">
        <v>372.99999999999989</v>
      </c>
    </row>
    <row r="32" spans="5:6">
      <c r="E32" s="6">
        <v>36</v>
      </c>
      <c r="F32" s="5">
        <v>213.42857142857139</v>
      </c>
    </row>
    <row r="33" spans="5:15">
      <c r="E33" s="6" t="s">
        <v>42</v>
      </c>
      <c r="F33" s="5">
        <v>811.42857142857133</v>
      </c>
    </row>
    <row r="37" spans="5:15">
      <c r="E37" s="2" t="s">
        <v>156</v>
      </c>
      <c r="F37" s="2" t="s">
        <v>157</v>
      </c>
    </row>
    <row r="38" spans="5:15">
      <c r="E38" s="2" t="s">
        <v>161</v>
      </c>
      <c r="F38" t="s">
        <v>13</v>
      </c>
      <c r="G38" t="s">
        <v>11</v>
      </c>
      <c r="H38" t="s">
        <v>124</v>
      </c>
      <c r="I38" t="s">
        <v>12</v>
      </c>
      <c r="J38" t="s">
        <v>42</v>
      </c>
    </row>
    <row r="39" spans="5:15">
      <c r="E39" s="6">
        <v>34</v>
      </c>
      <c r="F39" s="5">
        <v>65</v>
      </c>
      <c r="G39" s="5">
        <v>40</v>
      </c>
      <c r="H39" s="5">
        <v>60</v>
      </c>
      <c r="I39" s="5">
        <v>60</v>
      </c>
      <c r="J39" s="5">
        <v>225</v>
      </c>
    </row>
    <row r="40" spans="5:15">
      <c r="E40" s="6">
        <v>35</v>
      </c>
      <c r="F40" s="5">
        <v>159.8571428571428</v>
      </c>
      <c r="G40" s="5">
        <v>101.71428571428569</v>
      </c>
      <c r="H40" s="5"/>
      <c r="I40" s="5">
        <v>111.42857142857139</v>
      </c>
      <c r="J40" s="5">
        <v>372.99999999999989</v>
      </c>
    </row>
    <row r="41" spans="5:15">
      <c r="E41" s="6">
        <v>36</v>
      </c>
      <c r="F41" s="5">
        <v>125.4285714285714</v>
      </c>
      <c r="G41" s="5">
        <v>68</v>
      </c>
      <c r="H41" s="5"/>
      <c r="I41" s="5">
        <v>20</v>
      </c>
      <c r="J41" s="5">
        <v>213.42857142857139</v>
      </c>
    </row>
    <row r="42" spans="5:15">
      <c r="E42" s="6" t="s">
        <v>42</v>
      </c>
      <c r="F42" s="5">
        <v>350.28571428571422</v>
      </c>
      <c r="G42" s="5">
        <v>209.71428571428569</v>
      </c>
      <c r="H42" s="5">
        <v>60</v>
      </c>
      <c r="I42" s="5">
        <v>191.42857142857139</v>
      </c>
      <c r="J42" s="5">
        <v>811.42857142857133</v>
      </c>
    </row>
    <row r="44" spans="5:15">
      <c r="E44" s="3"/>
      <c r="F44" s="4"/>
      <c r="G44" s="1"/>
    </row>
    <row r="45" spans="5:15">
      <c r="E45" s="3"/>
      <c r="F45" s="4"/>
      <c r="G45" s="1"/>
    </row>
    <row r="47" spans="5:15">
      <c r="E47" s="2" t="s">
        <v>172</v>
      </c>
      <c r="F47" s="5" t="s">
        <v>173</v>
      </c>
      <c r="G47" s="5" t="s">
        <v>174</v>
      </c>
      <c r="L47" s="2" t="s">
        <v>172</v>
      </c>
      <c r="M47" t="s">
        <v>176</v>
      </c>
      <c r="N47" t="s">
        <v>177</v>
      </c>
      <c r="O47" t="s">
        <v>178</v>
      </c>
    </row>
    <row r="48" spans="5:15">
      <c r="E48" s="43">
        <v>45888</v>
      </c>
      <c r="F48" s="5">
        <v>1276.9000000000001</v>
      </c>
      <c r="G48" s="5">
        <v>1134</v>
      </c>
      <c r="L48" s="43">
        <v>45888</v>
      </c>
      <c r="M48" s="1">
        <v>1276.9000000000001</v>
      </c>
      <c r="N48" s="7">
        <v>37.5</v>
      </c>
      <c r="O48" s="68">
        <v>8350</v>
      </c>
    </row>
    <row r="49" spans="5:15">
      <c r="E49" s="43">
        <v>45889</v>
      </c>
      <c r="F49" s="5">
        <v>333.1</v>
      </c>
      <c r="G49" s="5">
        <v>975.2399999999999</v>
      </c>
      <c r="L49" s="43">
        <v>45889</v>
      </c>
      <c r="M49" s="1">
        <v>333.1</v>
      </c>
      <c r="N49" s="7">
        <v>26</v>
      </c>
      <c r="O49" s="68">
        <v>5400</v>
      </c>
    </row>
    <row r="50" spans="5:15">
      <c r="E50" s="43">
        <v>45890</v>
      </c>
      <c r="F50" s="5">
        <v>613.75</v>
      </c>
      <c r="G50" s="5">
        <v>347.76</v>
      </c>
      <c r="L50" s="43">
        <v>45890</v>
      </c>
      <c r="M50" s="1">
        <v>613.75</v>
      </c>
      <c r="N50" s="7">
        <v>16.071428571428559</v>
      </c>
      <c r="O50" s="68">
        <v>5000</v>
      </c>
    </row>
    <row r="51" spans="5:15">
      <c r="E51" s="43">
        <v>45891</v>
      </c>
      <c r="F51" s="5">
        <v>408.80652680652679</v>
      </c>
      <c r="G51" s="5">
        <v>1207.5</v>
      </c>
      <c r="L51" s="43">
        <v>45891</v>
      </c>
      <c r="M51" s="1">
        <v>408.80652680652679</v>
      </c>
      <c r="N51" s="7">
        <v>33.285714285714278</v>
      </c>
      <c r="O51" s="68">
        <v>5550</v>
      </c>
    </row>
    <row r="52" spans="5:15">
      <c r="E52" s="43">
        <v>45892</v>
      </c>
      <c r="F52" s="5">
        <v>384.90279720279716</v>
      </c>
      <c r="G52" s="5">
        <v>724.5</v>
      </c>
      <c r="L52" s="43">
        <v>45892</v>
      </c>
      <c r="M52" s="1">
        <v>384.90279720279716</v>
      </c>
      <c r="N52" s="7">
        <v>25.642857142857139</v>
      </c>
      <c r="O52" s="68">
        <v>5000</v>
      </c>
    </row>
    <row r="53" spans="5:15">
      <c r="E53" s="43">
        <v>45893</v>
      </c>
      <c r="F53" s="5">
        <v>242.64545454545453</v>
      </c>
      <c r="G53" s="5">
        <v>1086.75</v>
      </c>
      <c r="L53" s="43">
        <v>45893</v>
      </c>
      <c r="M53" s="1">
        <v>242.64545454545453</v>
      </c>
      <c r="N53" s="7">
        <v>35</v>
      </c>
      <c r="O53" s="68">
        <v>6600</v>
      </c>
    </row>
    <row r="54" spans="5:15">
      <c r="E54" s="43">
        <v>45894</v>
      </c>
      <c r="F54" s="5">
        <v>380.70804195804146</v>
      </c>
      <c r="G54" s="5">
        <v>1114.1199999999999</v>
      </c>
      <c r="L54" s="43">
        <v>45894</v>
      </c>
      <c r="M54" s="1">
        <v>380.70804195804146</v>
      </c>
      <c r="N54" s="7">
        <v>30</v>
      </c>
      <c r="O54" s="68">
        <v>5100</v>
      </c>
    </row>
    <row r="55" spans="5:15">
      <c r="E55" s="43">
        <v>45895</v>
      </c>
      <c r="F55" s="5">
        <v>139.0333916083903</v>
      </c>
      <c r="G55" s="5">
        <v>1876.703999999999</v>
      </c>
      <c r="L55" s="43">
        <v>45895</v>
      </c>
      <c r="M55" s="1">
        <v>139.0333916083903</v>
      </c>
      <c r="N55" s="7">
        <v>33.5</v>
      </c>
      <c r="O55" s="68">
        <v>3900</v>
      </c>
    </row>
    <row r="56" spans="5:15">
      <c r="E56" s="43">
        <v>45896</v>
      </c>
      <c r="F56" s="5">
        <v>66.786635586635356</v>
      </c>
      <c r="G56" s="5">
        <v>609.6499999999993</v>
      </c>
      <c r="L56" s="43">
        <v>45899</v>
      </c>
      <c r="M56" s="1">
        <v>445.95000000000005</v>
      </c>
      <c r="N56" s="7">
        <v>19.11904761904762</v>
      </c>
      <c r="O56" s="68">
        <v>2000</v>
      </c>
    </row>
    <row r="57" spans="5:15">
      <c r="E57" s="43">
        <v>45897</v>
      </c>
      <c r="F57" s="5">
        <v>514.7412010211998</v>
      </c>
      <c r="G57" s="5">
        <v>766.51500000000021</v>
      </c>
      <c r="L57" s="43">
        <v>45903</v>
      </c>
      <c r="M57" s="1">
        <v>1231.5</v>
      </c>
      <c r="N57" s="7">
        <v>20</v>
      </c>
      <c r="O57" s="68">
        <v>2500</v>
      </c>
    </row>
    <row r="58" spans="5:15">
      <c r="E58" s="43">
        <v>45898</v>
      </c>
      <c r="F58" s="5">
        <v>295.5</v>
      </c>
      <c r="G58" s="5">
        <v>747.62999999999977</v>
      </c>
      <c r="L58" s="43">
        <v>45896</v>
      </c>
      <c r="M58" s="1">
        <v>66.786635586635356</v>
      </c>
      <c r="N58" s="7">
        <v>11.83333333333333</v>
      </c>
      <c r="O58" s="68">
        <v>3000</v>
      </c>
    </row>
    <row r="59" spans="5:15">
      <c r="E59" s="43">
        <v>45899</v>
      </c>
      <c r="F59" s="5">
        <v>445.95000000000005</v>
      </c>
      <c r="G59" s="5">
        <v>1170.3284999999992</v>
      </c>
      <c r="L59" s="43">
        <v>45897</v>
      </c>
      <c r="M59" s="1">
        <v>514.7412010211998</v>
      </c>
      <c r="N59" s="7">
        <v>13.61904761904762</v>
      </c>
      <c r="O59" s="68">
        <v>2000</v>
      </c>
    </row>
    <row r="60" spans="5:15">
      <c r="E60" s="43">
        <v>45903</v>
      </c>
      <c r="F60" s="5">
        <v>1231.5</v>
      </c>
      <c r="G60" s="5">
        <v>257.88</v>
      </c>
      <c r="L60" s="43">
        <v>45898</v>
      </c>
      <c r="M60" s="1">
        <v>295.5</v>
      </c>
      <c r="N60" s="7">
        <v>17</v>
      </c>
      <c r="O60" s="68"/>
    </row>
    <row r="61" spans="5:15">
      <c r="E61" s="3" t="s">
        <v>42</v>
      </c>
      <c r="F61" s="5">
        <v>6334.324048729045</v>
      </c>
      <c r="G61" s="5">
        <v>12018.577499999996</v>
      </c>
      <c r="L61" s="43">
        <v>45900</v>
      </c>
      <c r="M61" s="1">
        <v>1231.5</v>
      </c>
      <c r="N61" s="7">
        <v>20</v>
      </c>
      <c r="O61" s="68">
        <v>2500</v>
      </c>
    </row>
    <row r="62" spans="5:15">
      <c r="L62" s="43">
        <v>45901</v>
      </c>
      <c r="M62" s="1">
        <v>1111.5</v>
      </c>
      <c r="N62" s="7">
        <v>20</v>
      </c>
      <c r="O62" s="68">
        <v>2500</v>
      </c>
    </row>
    <row r="63" spans="5:15">
      <c r="L63" s="43">
        <v>45902</v>
      </c>
      <c r="M63" s="1">
        <v>1111.5</v>
      </c>
      <c r="N63" s="7">
        <v>20</v>
      </c>
      <c r="O63" s="68">
        <v>2500</v>
      </c>
    </row>
    <row r="64" spans="5:15">
      <c r="L64" s="43">
        <v>45904</v>
      </c>
      <c r="M64" s="1">
        <v>1231.5</v>
      </c>
      <c r="N64" s="7">
        <v>8</v>
      </c>
      <c r="O64" s="68">
        <v>2500</v>
      </c>
    </row>
    <row r="65" spans="10:15">
      <c r="L65" s="43">
        <v>45905</v>
      </c>
      <c r="M65" s="1">
        <v>1231.5</v>
      </c>
      <c r="N65" s="7">
        <v>8</v>
      </c>
      <c r="O65" s="68">
        <v>2500</v>
      </c>
    </row>
    <row r="66" spans="10:15">
      <c r="L66" s="43" t="s">
        <v>42</v>
      </c>
      <c r="M66" s="1">
        <v>12251.824048729046</v>
      </c>
      <c r="N66" s="7">
        <v>394.57142857142856</v>
      </c>
      <c r="O66" s="68">
        <v>66900</v>
      </c>
    </row>
    <row r="71" spans="10:15">
      <c r="L71" s="5"/>
    </row>
    <row r="72" spans="10:15">
      <c r="J72" s="5"/>
      <c r="K72" s="5"/>
      <c r="L72" s="5"/>
      <c r="M72" s="5"/>
    </row>
    <row r="73" spans="10:15">
      <c r="J73" s="5"/>
      <c r="K73" s="5"/>
      <c r="L73" s="5"/>
      <c r="M73" s="5"/>
    </row>
    <row r="74" spans="10:15">
      <c r="J74" s="5"/>
      <c r="K74" s="5"/>
      <c r="L74" s="5"/>
    </row>
    <row r="75" spans="10:15">
      <c r="J75" s="5"/>
      <c r="K75" s="5"/>
      <c r="L75" s="5"/>
    </row>
    <row r="76" spans="10:15">
      <c r="J76" s="5"/>
      <c r="K76" s="5"/>
      <c r="L76" s="5"/>
    </row>
    <row r="77" spans="10:15">
      <c r="J77" s="5"/>
      <c r="K77" s="5"/>
      <c r="L77" s="5"/>
    </row>
    <row r="78" spans="10:15">
      <c r="J78" s="5"/>
      <c r="K78" s="5"/>
      <c r="L78" s="5"/>
    </row>
    <row r="79" spans="10:15">
      <c r="J79" s="5"/>
      <c r="K79" s="5"/>
      <c r="L79" s="5"/>
    </row>
    <row r="80" spans="10:15">
      <c r="J80" s="5"/>
      <c r="K80" s="5"/>
      <c r="L80" s="5"/>
    </row>
    <row r="81" spans="6:12">
      <c r="J81" s="5"/>
      <c r="K81" s="5"/>
      <c r="L81" s="5"/>
    </row>
    <row r="87" spans="6:12">
      <c r="F87" s="2" t="s">
        <v>161</v>
      </c>
      <c r="G87" t="s">
        <v>47</v>
      </c>
      <c r="H87" t="s">
        <v>162</v>
      </c>
      <c r="J87" t="s">
        <v>161</v>
      </c>
      <c r="K87" t="s">
        <v>47</v>
      </c>
      <c r="L87" t="s">
        <v>162</v>
      </c>
    </row>
    <row r="88" spans="6:12">
      <c r="F88" s="3">
        <v>34</v>
      </c>
      <c r="G88" s="7">
        <v>6.595238095238094</v>
      </c>
      <c r="H88">
        <v>8</v>
      </c>
      <c r="J88" s="3">
        <v>34</v>
      </c>
      <c r="K88" s="7">
        <v>6.595238095238094</v>
      </c>
      <c r="L88">
        <v>8</v>
      </c>
    </row>
    <row r="89" spans="6:12">
      <c r="F89" s="3">
        <v>35</v>
      </c>
      <c r="G89" s="7">
        <v>6.9596273291925472</v>
      </c>
      <c r="H89">
        <v>8</v>
      </c>
      <c r="J89" s="3">
        <v>35</v>
      </c>
      <c r="K89" s="7">
        <v>7.3928571428571432</v>
      </c>
      <c r="L89">
        <v>8</v>
      </c>
    </row>
    <row r="90" spans="6:12">
      <c r="F90" s="3">
        <v>36</v>
      </c>
      <c r="G90" s="7">
        <v>6.8571428571428568</v>
      </c>
    </row>
    <row r="91" spans="6:12">
      <c r="F91" s="3" t="s">
        <v>42</v>
      </c>
      <c r="G91" s="7">
        <v>6.8029556650246299</v>
      </c>
    </row>
  </sheetData>
  <pageMargins left="0.7" right="0.7" top="0.75" bottom="0.75" header="0.3" footer="0.3"/>
  <drawing r:id="rId7"/>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14F02F-12CC-485A-8346-8A6A6ED9E0D0}">
  <sheetPr codeName="Sheet3"/>
  <dimension ref="A1:W186"/>
  <sheetViews>
    <sheetView workbookViewId="0">
      <selection activeCell="B17" sqref="B17"/>
    </sheetView>
  </sheetViews>
  <sheetFormatPr defaultRowHeight="13.8"/>
  <cols>
    <col min="1" max="1" width="29.5" customWidth="1"/>
    <col min="2" max="2" width="48.8984375" style="5" bestFit="1" customWidth="1"/>
    <col min="3" max="3" width="9.796875" bestFit="1" customWidth="1"/>
    <col min="4" max="4" width="10" bestFit="1" customWidth="1"/>
    <col min="5" max="5" width="7" bestFit="1" customWidth="1"/>
    <col min="6" max="6" width="14.09765625" bestFit="1" customWidth="1"/>
    <col min="7" max="7" width="20.3984375" bestFit="1" customWidth="1"/>
    <col min="9" max="9" width="10" bestFit="1" customWidth="1"/>
    <col min="10" max="10" width="17.69921875" bestFit="1" customWidth="1"/>
    <col min="11" max="11" width="7.5" style="5" bestFit="1" customWidth="1"/>
    <col min="12" max="12" width="7.3984375" style="5" customWidth="1"/>
    <col min="13" max="13" width="12.796875" style="5" customWidth="1"/>
    <col min="14" max="14" width="20.8984375" style="5" bestFit="1" customWidth="1"/>
    <col min="15" max="15" width="55" style="5" bestFit="1" customWidth="1"/>
    <col min="16" max="16" width="7.3984375" style="5" customWidth="1"/>
    <col min="18" max="18" width="17" bestFit="1" customWidth="1"/>
    <col min="19" max="19" width="14.09765625" style="1" bestFit="1" customWidth="1"/>
    <col min="20" max="20" width="12" bestFit="1" customWidth="1"/>
    <col min="21" max="21" width="11.8984375" bestFit="1" customWidth="1"/>
    <col min="22" max="22" width="21.19921875" bestFit="1" customWidth="1"/>
    <col min="23" max="23" width="26.19921875" bestFit="1" customWidth="1"/>
  </cols>
  <sheetData>
    <row r="1" spans="1:23">
      <c r="A1" s="37" t="s">
        <v>165</v>
      </c>
      <c r="B1" s="46" t="s">
        <v>166</v>
      </c>
      <c r="D1" s="40" t="s">
        <v>0</v>
      </c>
      <c r="E1" t="s">
        <v>43</v>
      </c>
      <c r="F1" s="5" t="s">
        <v>163</v>
      </c>
      <c r="G1" s="5" t="s">
        <v>164</v>
      </c>
      <c r="I1" s="40" t="s">
        <v>0</v>
      </c>
      <c r="J1" t="s">
        <v>181</v>
      </c>
      <c r="K1" s="5" t="s">
        <v>182</v>
      </c>
      <c r="M1" s="5" t="s">
        <v>0</v>
      </c>
      <c r="N1" s="5" t="s">
        <v>181</v>
      </c>
      <c r="O1" s="5" t="s">
        <v>182</v>
      </c>
      <c r="R1" t="s">
        <v>0</v>
      </c>
      <c r="S1" t="s">
        <v>163</v>
      </c>
      <c r="T1" t="s">
        <v>41</v>
      </c>
      <c r="U1" t="s">
        <v>46</v>
      </c>
      <c r="V1" t="s">
        <v>179</v>
      </c>
      <c r="W1" t="s">
        <v>180</v>
      </c>
    </row>
    <row r="2" spans="1:23">
      <c r="A2" s="19" t="s">
        <v>129</v>
      </c>
      <c r="B2" s="64" t="str">
        <f>"Calories Burned (kcals) " &amp; SUMIFS(Table5[Calories Burned (kcal)],Table5[Date], MAX(Table5[Date]))</f>
        <v>Calories Burned (kcals) 213.15</v>
      </c>
      <c r="D2" s="40">
        <v>45888</v>
      </c>
      <c r="E2">
        <v>34</v>
      </c>
      <c r="F2" s="5">
        <v>232.5</v>
      </c>
      <c r="G2" s="5">
        <v>226.79999999999998</v>
      </c>
      <c r="I2" s="40">
        <v>45888</v>
      </c>
      <c r="J2" t="s">
        <v>163</v>
      </c>
      <c r="K2" s="5">
        <v>232.5</v>
      </c>
      <c r="M2" s="40">
        <f>MAX(I:I)</f>
        <v>45905</v>
      </c>
      <c r="N2" s="5" t="s">
        <v>163</v>
      </c>
      <c r="O2" s="5">
        <f>SUMIFS(K:K,I:I,$M$2,J:J,N2)</f>
        <v>1231.5</v>
      </c>
      <c r="R2" s="41">
        <v>45888</v>
      </c>
      <c r="S2">
        <v>232.5</v>
      </c>
      <c r="T2">
        <v>8</v>
      </c>
      <c r="U2">
        <v>1200</v>
      </c>
      <c r="V2">
        <v>30</v>
      </c>
      <c r="W2">
        <v>226.79999999999998</v>
      </c>
    </row>
    <row r="3" spans="1:23">
      <c r="A3" s="19" t="s">
        <v>168</v>
      </c>
      <c r="B3" s="64" t="str">
        <f>"Workout Duration (mins) " &amp; SUMIFS(Table5[Duration (mins)],Table5[Date], MAX(Table5[Date]))</f>
        <v>Workout Duration (mins) 60</v>
      </c>
      <c r="D3" s="40">
        <v>45888</v>
      </c>
      <c r="E3">
        <v>34</v>
      </c>
      <c r="F3" s="5">
        <v>49.400000000000006</v>
      </c>
      <c r="G3" s="5">
        <v>226.79999999999998</v>
      </c>
      <c r="I3" s="40">
        <v>45888</v>
      </c>
      <c r="J3" t="s">
        <v>41</v>
      </c>
      <c r="K3" s="5">
        <v>8</v>
      </c>
      <c r="N3" s="5" t="s">
        <v>41</v>
      </c>
      <c r="O3" s="5">
        <f>SUMIFS(K:K,I:I,$M$2,J:J,N3)</f>
        <v>8</v>
      </c>
      <c r="R3" s="41">
        <v>45888</v>
      </c>
      <c r="S3">
        <v>49.400000000000006</v>
      </c>
      <c r="T3">
        <v>7.5</v>
      </c>
      <c r="U3">
        <v>1350</v>
      </c>
      <c r="V3">
        <v>30</v>
      </c>
      <c r="W3">
        <v>226.79999999999998</v>
      </c>
    </row>
    <row r="4" spans="1:23">
      <c r="A4" s="19" t="s">
        <v>167</v>
      </c>
      <c r="B4" s="64" t="str">
        <f>"Calories Consumed (kcals) " &amp; SUMIFS(Table9[Calories (kcal)],Table9[Date], MAX(Table9[Date]))</f>
        <v>Calories Consumed (kcals) 1231.5</v>
      </c>
      <c r="C4" s="5"/>
      <c r="D4" s="40">
        <v>45888</v>
      </c>
      <c r="E4">
        <v>34</v>
      </c>
      <c r="F4" s="5">
        <v>247.5</v>
      </c>
      <c r="G4" s="5">
        <v>226.79999999999998</v>
      </c>
      <c r="I4" s="40">
        <v>45888</v>
      </c>
      <c r="J4" t="s">
        <v>46</v>
      </c>
      <c r="K4" s="5">
        <v>1200</v>
      </c>
      <c r="N4" s="5" t="s">
        <v>46</v>
      </c>
      <c r="O4" s="5">
        <f>SUMIFS(K:K,I:I,$M$2,J:J,N4)</f>
        <v>2500</v>
      </c>
      <c r="R4" s="41">
        <v>45888</v>
      </c>
      <c r="S4">
        <v>247.5</v>
      </c>
      <c r="T4">
        <v>8</v>
      </c>
      <c r="U4">
        <v>2000</v>
      </c>
      <c r="V4">
        <v>30</v>
      </c>
      <c r="W4">
        <v>226.79999999999998</v>
      </c>
    </row>
    <row r="5" spans="1:23">
      <c r="A5" s="19" t="s">
        <v>171</v>
      </c>
      <c r="B5" s="64" t="str">
        <f>"Current Weight " &amp; SUMIFS(BodyMeasurementsTable[Weight (kg)],BodyMeasurementsTable[Date], MAX(BodyMeasurementsTable[Date]))</f>
        <v>Current Weight 58</v>
      </c>
      <c r="C5" s="5"/>
      <c r="D5" s="40">
        <v>45888</v>
      </c>
      <c r="E5">
        <v>34</v>
      </c>
      <c r="F5" s="5">
        <v>247.5</v>
      </c>
      <c r="G5" s="5">
        <v>226.79999999999998</v>
      </c>
      <c r="I5" s="40">
        <v>45888</v>
      </c>
      <c r="J5" t="s">
        <v>130</v>
      </c>
      <c r="K5" s="5">
        <v>30</v>
      </c>
      <c r="N5" s="5" t="s">
        <v>130</v>
      </c>
      <c r="O5" s="5">
        <f>SUMIFS(K:K,I:I,$M$2,J:J,N5)</f>
        <v>60</v>
      </c>
      <c r="R5" s="41">
        <v>45888</v>
      </c>
      <c r="S5">
        <v>247.5</v>
      </c>
      <c r="T5">
        <v>8</v>
      </c>
      <c r="U5">
        <v>2000</v>
      </c>
      <c r="V5">
        <v>30</v>
      </c>
      <c r="W5">
        <v>226.79999999999998</v>
      </c>
    </row>
    <row r="6" spans="1:23">
      <c r="A6" s="19" t="s">
        <v>169</v>
      </c>
      <c r="B6" s="64" t="str">
        <f>"Sleep (hours) " &amp; SUMIFS(Table9[Sleep (hrs)],Table9[Date], MAX(Table9[Date]))</f>
        <v>Sleep (hours) 8</v>
      </c>
      <c r="C6" s="5"/>
      <c r="D6" s="40">
        <v>45888</v>
      </c>
      <c r="E6">
        <v>34</v>
      </c>
      <c r="F6" s="5">
        <v>500</v>
      </c>
      <c r="G6" s="5">
        <v>226.79999999999998</v>
      </c>
      <c r="I6" s="40">
        <v>45888</v>
      </c>
      <c r="J6" t="s">
        <v>164</v>
      </c>
      <c r="K6" s="5">
        <v>226.79999999999998</v>
      </c>
      <c r="N6" s="5" t="s">
        <v>164</v>
      </c>
      <c r="O6" s="5">
        <f>SUMIFS(K:K,I:I,$M$2,J:J,N6)</f>
        <v>213.15</v>
      </c>
      <c r="R6" s="41">
        <v>45888</v>
      </c>
      <c r="S6">
        <v>500</v>
      </c>
      <c r="T6">
        <v>6</v>
      </c>
      <c r="U6">
        <v>1800</v>
      </c>
      <c r="V6">
        <v>30</v>
      </c>
      <c r="W6">
        <v>226.79999999999998</v>
      </c>
    </row>
    <row r="7" spans="1:23">
      <c r="A7" s="19" t="s">
        <v>170</v>
      </c>
      <c r="B7" s="64" t="str">
        <f>"Water Intake (ml)" &amp; SUMIFS(Table9[Waters (ml)],Table9[Date], MAX(Table9[Date]))</f>
        <v>Water Intake (ml)2500</v>
      </c>
      <c r="C7" s="5"/>
      <c r="D7" s="40">
        <v>45889</v>
      </c>
      <c r="E7">
        <v>34</v>
      </c>
      <c r="F7" s="5">
        <v>80</v>
      </c>
      <c r="G7" s="5">
        <v>243.80999999999997</v>
      </c>
      <c r="I7" s="40">
        <v>45888</v>
      </c>
      <c r="J7" t="s">
        <v>163</v>
      </c>
      <c r="K7" s="5">
        <v>49.400000000000006</v>
      </c>
      <c r="R7" s="41">
        <v>45889</v>
      </c>
      <c r="S7">
        <v>80</v>
      </c>
      <c r="T7">
        <v>8</v>
      </c>
      <c r="U7">
        <v>2100</v>
      </c>
      <c r="V7">
        <v>45</v>
      </c>
      <c r="W7">
        <v>243.80999999999997</v>
      </c>
    </row>
    <row r="8" spans="1:23">
      <c r="C8" s="5"/>
      <c r="D8" s="40">
        <v>45889</v>
      </c>
      <c r="E8">
        <v>34</v>
      </c>
      <c r="F8" s="5">
        <v>41.6</v>
      </c>
      <c r="G8" s="5">
        <v>243.80999999999997</v>
      </c>
      <c r="I8" s="40">
        <v>45888</v>
      </c>
      <c r="J8" t="s">
        <v>41</v>
      </c>
      <c r="K8" s="5">
        <v>7.5</v>
      </c>
      <c r="R8" s="41">
        <v>45889</v>
      </c>
      <c r="S8">
        <v>41.6</v>
      </c>
      <c r="T8">
        <v>6</v>
      </c>
      <c r="U8">
        <v>1000</v>
      </c>
      <c r="V8">
        <v>45</v>
      </c>
      <c r="W8">
        <v>243.80999999999997</v>
      </c>
    </row>
    <row r="9" spans="1:23">
      <c r="C9" s="5"/>
      <c r="D9" s="40">
        <v>45889</v>
      </c>
      <c r="E9">
        <v>34</v>
      </c>
      <c r="F9" s="5">
        <v>55.5</v>
      </c>
      <c r="G9" s="5">
        <v>243.80999999999997</v>
      </c>
      <c r="I9" s="40">
        <v>45888</v>
      </c>
      <c r="J9" t="s">
        <v>46</v>
      </c>
      <c r="K9" s="5">
        <v>1350</v>
      </c>
      <c r="R9" s="41">
        <v>45889</v>
      </c>
      <c r="S9">
        <v>55.5</v>
      </c>
      <c r="T9">
        <v>5</v>
      </c>
      <c r="U9">
        <v>800</v>
      </c>
      <c r="V9">
        <v>45</v>
      </c>
      <c r="W9">
        <v>243.80999999999997</v>
      </c>
    </row>
    <row r="10" spans="1:23">
      <c r="A10" s="38"/>
      <c r="B10" s="39"/>
      <c r="C10" s="5"/>
      <c r="D10" s="40">
        <v>45889</v>
      </c>
      <c r="E10">
        <v>34</v>
      </c>
      <c r="F10" s="5">
        <v>156</v>
      </c>
      <c r="G10" s="5">
        <v>243.80999999999997</v>
      </c>
      <c r="I10" s="40">
        <v>45888</v>
      </c>
      <c r="J10" t="s">
        <v>163</v>
      </c>
      <c r="K10" s="5">
        <v>247.5</v>
      </c>
      <c r="R10" s="41">
        <v>45889</v>
      </c>
      <c r="S10">
        <v>156</v>
      </c>
      <c r="T10">
        <v>7</v>
      </c>
      <c r="U10">
        <v>1500</v>
      </c>
      <c r="V10">
        <v>45</v>
      </c>
      <c r="W10">
        <v>243.80999999999997</v>
      </c>
    </row>
    <row r="11" spans="1:23">
      <c r="A11" s="62" t="s">
        <v>183</v>
      </c>
      <c r="B11" s="63" t="s">
        <v>184</v>
      </c>
      <c r="D11" s="40">
        <v>45890</v>
      </c>
      <c r="E11">
        <v>34</v>
      </c>
      <c r="F11" s="5">
        <v>120</v>
      </c>
      <c r="G11" s="5">
        <v>115.92</v>
      </c>
      <c r="I11" s="40">
        <v>45888</v>
      </c>
      <c r="J11" t="s">
        <v>46</v>
      </c>
      <c r="K11" s="5">
        <v>2000</v>
      </c>
      <c r="R11" s="41">
        <v>45890</v>
      </c>
      <c r="S11">
        <v>120</v>
      </c>
      <c r="T11">
        <v>5.6428571428571397</v>
      </c>
      <c r="U11">
        <v>1200</v>
      </c>
      <c r="V11">
        <v>40</v>
      </c>
      <c r="W11">
        <v>115.92</v>
      </c>
    </row>
    <row r="12" spans="1:23">
      <c r="A12" t="s">
        <v>185</v>
      </c>
      <c r="B12" s="5">
        <f>INDEX(BodyMeasurementsTable[Weight (kg)],MATCH(MIN(BodyMeasurementsTable[Date]),BodyMeasurementsTable[Date],0))</f>
        <v>72</v>
      </c>
      <c r="D12" s="40">
        <v>45890</v>
      </c>
      <c r="E12">
        <v>34</v>
      </c>
      <c r="F12" s="5">
        <v>206.25</v>
      </c>
      <c r="G12" s="5">
        <v>115.92</v>
      </c>
      <c r="I12" s="40">
        <v>45888</v>
      </c>
      <c r="J12" t="s">
        <v>163</v>
      </c>
      <c r="K12" s="5">
        <v>500</v>
      </c>
      <c r="R12" s="41">
        <v>45890</v>
      </c>
      <c r="S12">
        <v>206.25</v>
      </c>
      <c r="T12">
        <v>5.3571428571428497</v>
      </c>
      <c r="U12">
        <v>2000</v>
      </c>
      <c r="V12">
        <v>40</v>
      </c>
      <c r="W12">
        <v>115.92</v>
      </c>
    </row>
    <row r="13" spans="1:23">
      <c r="A13" t="s">
        <v>186</v>
      </c>
      <c r="B13" s="5" cm="1">
        <f t="array" aca="1" ref="B13" ca="1">LOOKUP(2,1/(BodyMeasurementsTable[Date]&lt;=TODAY()),BodyMeasurementsTable[Weight (kg)])</f>
        <v>58</v>
      </c>
      <c r="D13" s="40">
        <v>45890</v>
      </c>
      <c r="E13">
        <v>34</v>
      </c>
      <c r="F13" s="5">
        <v>287.5</v>
      </c>
      <c r="G13" s="5">
        <v>115.92</v>
      </c>
      <c r="I13" s="40">
        <v>45888</v>
      </c>
      <c r="J13" t="s">
        <v>41</v>
      </c>
      <c r="K13" s="5">
        <v>6</v>
      </c>
      <c r="R13" s="41">
        <v>45890</v>
      </c>
      <c r="S13">
        <v>287.5</v>
      </c>
      <c r="T13">
        <v>5.0714285714285703</v>
      </c>
      <c r="U13">
        <v>1800</v>
      </c>
      <c r="V13">
        <v>40</v>
      </c>
      <c r="W13">
        <v>115.92</v>
      </c>
    </row>
    <row r="14" spans="1:23">
      <c r="A14" t="s">
        <v>187</v>
      </c>
      <c r="B14" s="5">
        <v>45</v>
      </c>
      <c r="C14" t="str">
        <f>"Goal: "&amp;B14&amp;" kg"</f>
        <v>Goal: 45 kg</v>
      </c>
      <c r="D14" s="40">
        <v>45891</v>
      </c>
      <c r="E14">
        <v>34</v>
      </c>
      <c r="F14" s="5">
        <v>20</v>
      </c>
      <c r="G14" s="5">
        <v>241.5</v>
      </c>
      <c r="I14" s="40">
        <v>45888</v>
      </c>
      <c r="J14" t="s">
        <v>46</v>
      </c>
      <c r="K14" s="5">
        <v>1800</v>
      </c>
      <c r="R14" s="41">
        <v>45891</v>
      </c>
      <c r="S14">
        <v>20</v>
      </c>
      <c r="T14">
        <v>7</v>
      </c>
      <c r="V14">
        <v>20</v>
      </c>
      <c r="W14">
        <v>241.5</v>
      </c>
    </row>
    <row r="15" spans="1:23">
      <c r="A15" t="s">
        <v>188</v>
      </c>
      <c r="B15" s="5">
        <f ca="1">_xlfn.LET( _xlpm.start, B12,
  _xlpm.cur, B13,
  _xlpm.goal, B14,
  _xlpm.pct,
    IF(_xlpm.start&gt;_xlpm.goal,
       (_xlpm.start - _xlpm.cur) / IF(_xlpm.start - _xlpm.goal = 0, 1, _xlpm.start - _xlpm.goal),
       IF(_xlpm.start&lt;_xlpm.goal,
          (_xlpm.cur - _xlpm.start) / IF(_xlpm.goal - _xlpm.start = 0, 1, _xlpm.goal - _xlpm.start),
          1
       )
    ),
  MAX(0, MIN(1, _xlpm.pct))
)</f>
        <v>0.51851851851851849</v>
      </c>
      <c r="C15" t="str">
        <f ca="1">"Current Weight: "&amp;B13&amp;" kg"</f>
        <v>Current Weight: 58 kg</v>
      </c>
      <c r="D15" s="40">
        <v>45891</v>
      </c>
      <c r="E15">
        <v>34</v>
      </c>
      <c r="F15" s="5">
        <v>131.75</v>
      </c>
      <c r="G15" s="5">
        <v>241.5</v>
      </c>
      <c r="I15" s="40">
        <v>45889</v>
      </c>
      <c r="J15" t="s">
        <v>163</v>
      </c>
      <c r="K15" s="5">
        <v>80</v>
      </c>
      <c r="R15" s="41">
        <v>45891</v>
      </c>
      <c r="S15">
        <v>131.75</v>
      </c>
      <c r="T15">
        <v>4.7857142857142803</v>
      </c>
      <c r="U15">
        <v>2100</v>
      </c>
      <c r="V15">
        <v>20</v>
      </c>
      <c r="W15">
        <v>241.5</v>
      </c>
    </row>
    <row r="16" spans="1:23">
      <c r="D16" s="40">
        <v>45891</v>
      </c>
      <c r="E16">
        <v>34</v>
      </c>
      <c r="F16" s="5">
        <v>76</v>
      </c>
      <c r="G16" s="5">
        <v>241.5</v>
      </c>
      <c r="I16" s="40">
        <v>45889</v>
      </c>
      <c r="J16" t="s">
        <v>41</v>
      </c>
      <c r="K16" s="5">
        <v>8</v>
      </c>
      <c r="R16" s="41">
        <v>45891</v>
      </c>
      <c r="S16">
        <v>76</v>
      </c>
      <c r="T16">
        <v>8</v>
      </c>
      <c r="U16">
        <v>1000</v>
      </c>
      <c r="V16">
        <v>20</v>
      </c>
      <c r="W16">
        <v>241.5</v>
      </c>
    </row>
    <row r="17" spans="1:23">
      <c r="A17" t="s">
        <v>191</v>
      </c>
      <c r="B17" s="67">
        <f ca="1">B15*100</f>
        <v>51.851851851851848</v>
      </c>
      <c r="C17" s="5"/>
      <c r="D17" s="40">
        <v>45891</v>
      </c>
      <c r="E17">
        <v>34</v>
      </c>
      <c r="F17" s="5">
        <v>95.348484848484858</v>
      </c>
      <c r="G17" s="5">
        <v>241.5</v>
      </c>
      <c r="I17" s="40">
        <v>45889</v>
      </c>
      <c r="J17" t="s">
        <v>46</v>
      </c>
      <c r="K17" s="5">
        <v>2100</v>
      </c>
      <c r="R17" s="41">
        <v>45891</v>
      </c>
      <c r="S17">
        <v>95.348484848484858</v>
      </c>
      <c r="T17">
        <v>5.5</v>
      </c>
      <c r="U17">
        <v>950</v>
      </c>
      <c r="V17">
        <v>20</v>
      </c>
      <c r="W17">
        <v>241.5</v>
      </c>
    </row>
    <row r="18" spans="1:23">
      <c r="A18" t="s">
        <v>190</v>
      </c>
      <c r="B18" s="67">
        <f ca="1">(1-B15)*100</f>
        <v>48.148148148148152</v>
      </c>
      <c r="C18" s="5"/>
      <c r="D18" s="40">
        <v>45891</v>
      </c>
      <c r="E18">
        <v>34</v>
      </c>
      <c r="F18" s="5">
        <v>85.708041958041932</v>
      </c>
      <c r="G18" s="5">
        <v>241.5</v>
      </c>
      <c r="I18" s="40">
        <v>45889</v>
      </c>
      <c r="J18" t="s">
        <v>130</v>
      </c>
      <c r="K18" s="5">
        <v>45</v>
      </c>
      <c r="R18" s="41">
        <v>45891</v>
      </c>
      <c r="S18">
        <v>85.708041958041932</v>
      </c>
      <c r="T18">
        <v>8</v>
      </c>
      <c r="U18">
        <v>1500</v>
      </c>
      <c r="V18">
        <v>20</v>
      </c>
      <c r="W18">
        <v>241.5</v>
      </c>
    </row>
    <row r="19" spans="1:23">
      <c r="A19" t="s">
        <v>189</v>
      </c>
      <c r="B19" s="5">
        <v>100</v>
      </c>
      <c r="D19" s="40">
        <v>45892</v>
      </c>
      <c r="E19">
        <v>34</v>
      </c>
      <c r="F19" s="5">
        <v>49.95</v>
      </c>
      <c r="G19" s="5">
        <v>181.125</v>
      </c>
      <c r="I19" s="40">
        <v>45889</v>
      </c>
      <c r="J19" t="s">
        <v>164</v>
      </c>
      <c r="K19" s="5">
        <v>243.80999999999997</v>
      </c>
      <c r="R19" s="41">
        <v>45892</v>
      </c>
      <c r="S19">
        <v>49.95</v>
      </c>
      <c r="T19">
        <v>6.5</v>
      </c>
      <c r="V19">
        <v>30</v>
      </c>
      <c r="W19">
        <v>181.125</v>
      </c>
    </row>
    <row r="20" spans="1:23">
      <c r="D20" s="40">
        <v>45892</v>
      </c>
      <c r="E20">
        <v>34</v>
      </c>
      <c r="F20" s="5">
        <v>178.4128787878787</v>
      </c>
      <c r="G20" s="5">
        <v>181.125</v>
      </c>
      <c r="I20" s="40">
        <v>45889</v>
      </c>
      <c r="J20" t="s">
        <v>163</v>
      </c>
      <c r="K20" s="5">
        <v>41.6</v>
      </c>
      <c r="R20" s="41">
        <v>45892</v>
      </c>
      <c r="S20">
        <v>178.4128787878787</v>
      </c>
      <c r="T20">
        <v>3.6428571428571401</v>
      </c>
      <c r="U20">
        <v>1200</v>
      </c>
      <c r="V20">
        <v>30</v>
      </c>
      <c r="W20">
        <v>181.125</v>
      </c>
    </row>
    <row r="21" spans="1:23">
      <c r="D21" s="40">
        <v>45892</v>
      </c>
      <c r="E21">
        <v>34</v>
      </c>
      <c r="F21" s="5">
        <v>53.799533799533769</v>
      </c>
      <c r="G21" s="5">
        <v>181.125</v>
      </c>
      <c r="I21" s="40">
        <v>45889</v>
      </c>
      <c r="J21" t="s">
        <v>41</v>
      </c>
      <c r="K21" s="5">
        <v>6</v>
      </c>
      <c r="R21" s="41">
        <v>45892</v>
      </c>
      <c r="S21">
        <v>53.799533799533769</v>
      </c>
      <c r="T21">
        <v>8.5</v>
      </c>
      <c r="U21">
        <v>2000</v>
      </c>
      <c r="V21">
        <v>30</v>
      </c>
      <c r="W21">
        <v>181.125</v>
      </c>
    </row>
    <row r="22" spans="1:23">
      <c r="D22" s="40">
        <v>45892</v>
      </c>
      <c r="E22">
        <v>34</v>
      </c>
      <c r="F22" s="5">
        <v>102.74038461538467</v>
      </c>
      <c r="G22" s="5">
        <v>181.125</v>
      </c>
      <c r="I22" s="40">
        <v>45889</v>
      </c>
      <c r="J22" t="s">
        <v>46</v>
      </c>
      <c r="K22" s="5">
        <v>1000</v>
      </c>
      <c r="R22" s="41">
        <v>45892</v>
      </c>
      <c r="S22">
        <v>102.74038461538467</v>
      </c>
      <c r="T22">
        <v>7</v>
      </c>
      <c r="U22">
        <v>1800</v>
      </c>
      <c r="V22">
        <v>30</v>
      </c>
      <c r="W22">
        <v>181.125</v>
      </c>
    </row>
    <row r="23" spans="1:23">
      <c r="D23" s="40">
        <v>45893</v>
      </c>
      <c r="E23">
        <v>35</v>
      </c>
      <c r="F23" s="5">
        <v>4.1000000000000005</v>
      </c>
      <c r="G23" s="5">
        <v>217.35</v>
      </c>
      <c r="I23" s="40">
        <v>45889</v>
      </c>
      <c r="J23" t="s">
        <v>163</v>
      </c>
      <c r="K23" s="5">
        <v>55.5</v>
      </c>
      <c r="R23" s="41">
        <v>45893</v>
      </c>
      <c r="S23">
        <v>4.1000000000000005</v>
      </c>
      <c r="T23">
        <v>5</v>
      </c>
      <c r="V23">
        <v>60</v>
      </c>
      <c r="W23">
        <v>217.35</v>
      </c>
    </row>
    <row r="24" spans="1:23">
      <c r="D24" s="40">
        <v>45893</v>
      </c>
      <c r="E24">
        <v>35</v>
      </c>
      <c r="F24" s="5">
        <v>143.21095571095577</v>
      </c>
      <c r="G24" s="5">
        <v>217.35</v>
      </c>
      <c r="I24" s="40">
        <v>45889</v>
      </c>
      <c r="J24" t="s">
        <v>41</v>
      </c>
      <c r="K24" s="5">
        <v>5</v>
      </c>
      <c r="R24" s="41">
        <v>45893</v>
      </c>
      <c r="S24">
        <v>143.21095571095577</v>
      </c>
      <c r="T24">
        <v>9</v>
      </c>
      <c r="U24">
        <v>2100</v>
      </c>
      <c r="V24">
        <v>60</v>
      </c>
      <c r="W24">
        <v>217.35</v>
      </c>
    </row>
    <row r="25" spans="1:23">
      <c r="D25" s="40">
        <v>45893</v>
      </c>
      <c r="E25">
        <v>35</v>
      </c>
      <c r="F25" s="5">
        <v>8.3682983682983689</v>
      </c>
      <c r="G25" s="5">
        <v>217.35</v>
      </c>
      <c r="I25" s="40">
        <v>45889</v>
      </c>
      <c r="J25" t="s">
        <v>46</v>
      </c>
      <c r="K25" s="5">
        <v>800</v>
      </c>
      <c r="R25" s="41">
        <v>45893</v>
      </c>
      <c r="S25">
        <v>8.3682983682983689</v>
      </c>
      <c r="T25">
        <v>5</v>
      </c>
      <c r="U25">
        <v>1000</v>
      </c>
      <c r="V25">
        <v>60</v>
      </c>
      <c r="W25">
        <v>217.35</v>
      </c>
    </row>
    <row r="26" spans="1:23">
      <c r="D26" s="40">
        <v>45893</v>
      </c>
      <c r="E26">
        <v>35</v>
      </c>
      <c r="F26" s="5">
        <v>37.855477855477837</v>
      </c>
      <c r="G26" s="5">
        <v>217.35</v>
      </c>
      <c r="I26" s="40">
        <v>45889</v>
      </c>
      <c r="J26" t="s">
        <v>163</v>
      </c>
      <c r="K26" s="5">
        <v>156</v>
      </c>
      <c r="R26" s="41">
        <v>45893</v>
      </c>
      <c r="S26">
        <v>37.855477855477837</v>
      </c>
      <c r="T26">
        <v>8</v>
      </c>
      <c r="U26">
        <v>2000</v>
      </c>
      <c r="V26">
        <v>60</v>
      </c>
      <c r="W26">
        <v>217.35</v>
      </c>
    </row>
    <row r="27" spans="1:23">
      <c r="D27" s="40">
        <v>45893</v>
      </c>
      <c r="E27">
        <v>35</v>
      </c>
      <c r="F27" s="5">
        <v>49.110722610722569</v>
      </c>
      <c r="G27" s="5">
        <v>217.35</v>
      </c>
      <c r="I27" s="40">
        <v>45889</v>
      </c>
      <c r="J27" t="s">
        <v>41</v>
      </c>
      <c r="K27" s="5">
        <v>7</v>
      </c>
      <c r="R27" s="41">
        <v>45893</v>
      </c>
      <c r="S27">
        <v>49.110722610722569</v>
      </c>
      <c r="T27">
        <v>8</v>
      </c>
      <c r="U27">
        <v>1500</v>
      </c>
      <c r="V27">
        <v>60</v>
      </c>
      <c r="W27">
        <v>217.35</v>
      </c>
    </row>
    <row r="28" spans="1:23">
      <c r="D28" s="40">
        <v>45894</v>
      </c>
      <c r="E28">
        <v>35</v>
      </c>
      <c r="F28" s="5">
        <v>250</v>
      </c>
      <c r="G28" s="5">
        <v>278.52999999999997</v>
      </c>
      <c r="I28" s="40">
        <v>45889</v>
      </c>
      <c r="J28" t="s">
        <v>46</v>
      </c>
      <c r="K28" s="5">
        <v>1500</v>
      </c>
      <c r="R28" s="41">
        <v>45894</v>
      </c>
      <c r="S28">
        <v>250</v>
      </c>
      <c r="T28">
        <v>7</v>
      </c>
      <c r="V28">
        <v>46</v>
      </c>
      <c r="W28">
        <v>278.52999999999997</v>
      </c>
    </row>
    <row r="29" spans="1:23">
      <c r="D29" s="40">
        <v>45894</v>
      </c>
      <c r="E29">
        <v>35</v>
      </c>
      <c r="F29" s="5">
        <v>41.46328671328687</v>
      </c>
      <c r="G29" s="5">
        <v>278.52999999999997</v>
      </c>
      <c r="I29" s="40">
        <v>45890</v>
      </c>
      <c r="J29" t="s">
        <v>163</v>
      </c>
      <c r="K29" s="5">
        <v>120</v>
      </c>
      <c r="R29" s="41">
        <v>45894</v>
      </c>
      <c r="S29">
        <v>41.46328671328687</v>
      </c>
      <c r="T29">
        <v>6</v>
      </c>
      <c r="U29">
        <v>1200</v>
      </c>
      <c r="V29">
        <v>46</v>
      </c>
      <c r="W29">
        <v>278.52999999999997</v>
      </c>
    </row>
    <row r="30" spans="1:23">
      <c r="D30" s="40">
        <v>45894</v>
      </c>
      <c r="E30">
        <v>35</v>
      </c>
      <c r="F30" s="5">
        <v>67.333333333332561</v>
      </c>
      <c r="G30" s="5">
        <v>278.52999999999997</v>
      </c>
      <c r="I30" s="40">
        <v>45890</v>
      </c>
      <c r="J30" t="s">
        <v>41</v>
      </c>
      <c r="K30" s="5">
        <v>5.6428571428571397</v>
      </c>
      <c r="R30" s="41">
        <v>45894</v>
      </c>
      <c r="S30">
        <v>67.333333333332561</v>
      </c>
      <c r="T30">
        <v>10</v>
      </c>
      <c r="U30">
        <v>1000</v>
      </c>
      <c r="V30">
        <v>46</v>
      </c>
      <c r="W30">
        <v>278.52999999999997</v>
      </c>
    </row>
    <row r="31" spans="1:23">
      <c r="D31" s="40">
        <v>45894</v>
      </c>
      <c r="E31">
        <v>35</v>
      </c>
      <c r="F31" s="5">
        <v>21.911421911422</v>
      </c>
      <c r="G31" s="5">
        <v>278.52999999999997</v>
      </c>
      <c r="I31" s="40">
        <v>45890</v>
      </c>
      <c r="J31" t="s">
        <v>46</v>
      </c>
      <c r="K31" s="5">
        <v>1200</v>
      </c>
      <c r="R31" s="41">
        <v>45894</v>
      </c>
      <c r="S31">
        <v>21.911421911422</v>
      </c>
      <c r="T31">
        <v>7</v>
      </c>
      <c r="U31">
        <v>2900</v>
      </c>
      <c r="V31">
        <v>46</v>
      </c>
      <c r="W31">
        <v>278.52999999999997</v>
      </c>
    </row>
    <row r="32" spans="1:23">
      <c r="D32" s="40">
        <v>45895</v>
      </c>
      <c r="E32">
        <v>35</v>
      </c>
      <c r="F32" s="5">
        <v>77.800000000000011</v>
      </c>
      <c r="G32" s="5">
        <v>469.17599999999976</v>
      </c>
      <c r="I32" s="40">
        <v>45890</v>
      </c>
      <c r="J32" t="s">
        <v>130</v>
      </c>
      <c r="K32" s="5">
        <v>40</v>
      </c>
      <c r="R32" s="41">
        <v>45895</v>
      </c>
      <c r="S32">
        <v>77.800000000000011</v>
      </c>
      <c r="T32">
        <v>8</v>
      </c>
      <c r="V32">
        <v>48.428571428571402</v>
      </c>
      <c r="W32">
        <v>469.17599999999976</v>
      </c>
    </row>
    <row r="33" spans="4:23">
      <c r="D33" s="40">
        <v>45895</v>
      </c>
      <c r="E33">
        <v>35</v>
      </c>
      <c r="F33" s="5">
        <v>34.730477855477226</v>
      </c>
      <c r="G33" s="5">
        <v>469.17599999999976</v>
      </c>
      <c r="I33" s="40">
        <v>45890</v>
      </c>
      <c r="J33" t="s">
        <v>164</v>
      </c>
      <c r="K33" s="5">
        <v>115.92</v>
      </c>
      <c r="R33" s="41">
        <v>45895</v>
      </c>
      <c r="S33">
        <v>34.730477855477226</v>
      </c>
      <c r="T33">
        <v>8.5</v>
      </c>
      <c r="U33">
        <v>2100</v>
      </c>
      <c r="V33">
        <v>48.428571428571402</v>
      </c>
      <c r="W33">
        <v>469.17599999999976</v>
      </c>
    </row>
    <row r="34" spans="4:23">
      <c r="D34" s="40">
        <v>45895</v>
      </c>
      <c r="E34">
        <v>35</v>
      </c>
      <c r="F34" s="5">
        <v>6.0984848484848753</v>
      </c>
      <c r="G34" s="5">
        <v>469.17599999999976</v>
      </c>
      <c r="I34" s="40">
        <v>45890</v>
      </c>
      <c r="J34" t="s">
        <v>163</v>
      </c>
      <c r="K34" s="5">
        <v>206.25</v>
      </c>
      <c r="R34" s="41">
        <v>45895</v>
      </c>
      <c r="S34">
        <v>6.0984848484848753</v>
      </c>
      <c r="T34">
        <v>8</v>
      </c>
      <c r="U34">
        <v>1000</v>
      </c>
      <c r="V34">
        <v>48.428571428571402</v>
      </c>
      <c r="W34">
        <v>469.17599999999976</v>
      </c>
    </row>
    <row r="35" spans="4:23">
      <c r="D35" s="40">
        <v>45895</v>
      </c>
      <c r="E35">
        <v>35</v>
      </c>
      <c r="F35" s="5">
        <v>20.40442890442818</v>
      </c>
      <c r="G35" s="5">
        <v>469.17599999999976</v>
      </c>
      <c r="I35" s="40">
        <v>45890</v>
      </c>
      <c r="J35" t="s">
        <v>41</v>
      </c>
      <c r="K35" s="5">
        <v>5.3571428571428497</v>
      </c>
      <c r="R35" s="41">
        <v>45895</v>
      </c>
      <c r="S35">
        <v>20.40442890442818</v>
      </c>
      <c r="T35">
        <v>9</v>
      </c>
      <c r="U35">
        <v>800</v>
      </c>
      <c r="V35">
        <v>48.428571428571402</v>
      </c>
      <c r="W35">
        <v>469.17599999999976</v>
      </c>
    </row>
    <row r="36" spans="4:23">
      <c r="D36" s="40">
        <v>45896</v>
      </c>
      <c r="E36">
        <v>35</v>
      </c>
      <c r="F36" s="5">
        <v>40</v>
      </c>
      <c r="G36" s="5">
        <v>304.82499999999965</v>
      </c>
      <c r="I36" s="40">
        <v>45890</v>
      </c>
      <c r="J36" t="s">
        <v>46</v>
      </c>
      <c r="K36" s="5">
        <v>2000</v>
      </c>
      <c r="R36" s="41">
        <v>45896</v>
      </c>
      <c r="S36">
        <v>40</v>
      </c>
      <c r="T36">
        <v>5</v>
      </c>
      <c r="U36">
        <v>1500</v>
      </c>
      <c r="V36">
        <v>50.857142857142797</v>
      </c>
      <c r="W36">
        <v>304.82499999999965</v>
      </c>
    </row>
    <row r="37" spans="4:23">
      <c r="D37" s="40">
        <v>45896</v>
      </c>
      <c r="E37">
        <v>35</v>
      </c>
      <c r="F37" s="5">
        <v>26.786635586635363</v>
      </c>
      <c r="G37" s="5">
        <v>304.82499999999965</v>
      </c>
      <c r="H37" s="5"/>
      <c r="I37" s="40">
        <v>45890</v>
      </c>
      <c r="J37" t="s">
        <v>163</v>
      </c>
      <c r="K37" s="5">
        <v>287.5</v>
      </c>
      <c r="R37" s="41">
        <v>45896</v>
      </c>
      <c r="S37">
        <v>26.786635586635363</v>
      </c>
      <c r="T37">
        <v>6.8333333333333304</v>
      </c>
      <c r="U37">
        <v>1500</v>
      </c>
      <c r="V37">
        <v>50.857142857142797</v>
      </c>
      <c r="W37">
        <v>304.82499999999965</v>
      </c>
    </row>
    <row r="38" spans="4:23">
      <c r="D38" s="40">
        <v>45897</v>
      </c>
      <c r="E38">
        <v>35</v>
      </c>
      <c r="F38" s="5">
        <v>139.74120102119977</v>
      </c>
      <c r="G38" s="5">
        <v>383.25750000000011</v>
      </c>
      <c r="H38" s="5"/>
      <c r="I38" s="40">
        <v>45890</v>
      </c>
      <c r="J38" t="s">
        <v>41</v>
      </c>
      <c r="K38" s="5">
        <v>5.0714285714285703</v>
      </c>
      <c r="R38" s="41">
        <v>45897</v>
      </c>
      <c r="S38">
        <v>139.74120102119977</v>
      </c>
      <c r="T38">
        <v>6.6190476190476204</v>
      </c>
      <c r="U38">
        <v>2000</v>
      </c>
      <c r="V38">
        <v>53.285714285714299</v>
      </c>
      <c r="W38">
        <v>383.25750000000011</v>
      </c>
    </row>
    <row r="39" spans="4:23">
      <c r="D39" s="40">
        <v>45897</v>
      </c>
      <c r="E39">
        <v>35</v>
      </c>
      <c r="F39" s="5">
        <v>375</v>
      </c>
      <c r="G39" s="5">
        <v>383.25750000000011</v>
      </c>
      <c r="I39" s="40">
        <v>45890</v>
      </c>
      <c r="J39" t="s">
        <v>46</v>
      </c>
      <c r="K39" s="5">
        <v>1800</v>
      </c>
      <c r="R39" s="41">
        <v>45897</v>
      </c>
      <c r="S39">
        <v>375</v>
      </c>
      <c r="T39">
        <v>7</v>
      </c>
      <c r="V39">
        <v>53.285714285714299</v>
      </c>
      <c r="W39">
        <v>383.25750000000011</v>
      </c>
    </row>
    <row r="40" spans="4:23">
      <c r="D40" s="40">
        <v>45898</v>
      </c>
      <c r="E40">
        <v>35</v>
      </c>
      <c r="F40" s="5">
        <v>80</v>
      </c>
      <c r="G40" s="5">
        <v>249.20999999999992</v>
      </c>
      <c r="I40" s="40">
        <v>45891</v>
      </c>
      <c r="J40" t="s">
        <v>163</v>
      </c>
      <c r="K40" s="5">
        <v>20</v>
      </c>
      <c r="R40" s="41">
        <v>45898</v>
      </c>
      <c r="S40">
        <v>80</v>
      </c>
      <c r="T40">
        <v>8</v>
      </c>
      <c r="V40">
        <v>55.714285714285701</v>
      </c>
      <c r="W40">
        <v>249.20999999999992</v>
      </c>
    </row>
    <row r="41" spans="4:23">
      <c r="D41" s="40">
        <v>45898</v>
      </c>
      <c r="E41">
        <v>35</v>
      </c>
      <c r="F41" s="5">
        <v>55.5</v>
      </c>
      <c r="G41" s="5">
        <v>249.20999999999992</v>
      </c>
      <c r="I41" s="40">
        <v>45891</v>
      </c>
      <c r="J41" t="s">
        <v>41</v>
      </c>
      <c r="K41" s="5">
        <v>7</v>
      </c>
      <c r="R41" s="41">
        <v>45898</v>
      </c>
      <c r="S41">
        <v>55.5</v>
      </c>
      <c r="T41">
        <v>5</v>
      </c>
      <c r="V41">
        <v>55.714285714285701</v>
      </c>
      <c r="W41">
        <v>249.20999999999992</v>
      </c>
    </row>
    <row r="42" spans="4:23">
      <c r="D42" s="40">
        <v>45898</v>
      </c>
      <c r="E42">
        <v>35</v>
      </c>
      <c r="F42" s="5">
        <v>160</v>
      </c>
      <c r="G42" s="5">
        <v>249.20999999999992</v>
      </c>
      <c r="I42" s="40">
        <v>45891</v>
      </c>
      <c r="J42" t="s">
        <v>130</v>
      </c>
      <c r="K42" s="5">
        <v>20</v>
      </c>
      <c r="R42" s="41">
        <v>45898</v>
      </c>
      <c r="S42">
        <v>160</v>
      </c>
      <c r="T42">
        <v>4</v>
      </c>
      <c r="V42">
        <v>55.714285714285701</v>
      </c>
      <c r="W42">
        <v>249.20999999999992</v>
      </c>
    </row>
    <row r="43" spans="4:23">
      <c r="D43" s="40">
        <v>45899</v>
      </c>
      <c r="E43">
        <v>35</v>
      </c>
      <c r="F43" s="5">
        <v>58.349999999999994</v>
      </c>
      <c r="G43" s="5">
        <v>390.10949999999968</v>
      </c>
      <c r="I43" s="40">
        <v>45891</v>
      </c>
      <c r="J43" t="s">
        <v>164</v>
      </c>
      <c r="K43" s="5">
        <v>241.5</v>
      </c>
      <c r="R43" s="41">
        <v>45899</v>
      </c>
      <c r="S43">
        <v>58.349999999999994</v>
      </c>
      <c r="T43">
        <v>6.6190476190476204</v>
      </c>
      <c r="U43">
        <v>2000</v>
      </c>
      <c r="V43">
        <v>58.142857142857103</v>
      </c>
      <c r="W43">
        <v>390.10949999999968</v>
      </c>
    </row>
    <row r="44" spans="4:23">
      <c r="D44" s="40">
        <v>45899</v>
      </c>
      <c r="E44">
        <v>35</v>
      </c>
      <c r="F44" s="5">
        <v>312</v>
      </c>
      <c r="G44" s="5">
        <v>390.10949999999968</v>
      </c>
      <c r="I44" s="40">
        <v>45891</v>
      </c>
      <c r="J44" t="s">
        <v>163</v>
      </c>
      <c r="K44" s="5">
        <v>131.75</v>
      </c>
      <c r="R44" s="41">
        <v>45899</v>
      </c>
      <c r="S44">
        <v>312</v>
      </c>
      <c r="T44">
        <v>7</v>
      </c>
      <c r="V44">
        <v>58.142857142857103</v>
      </c>
      <c r="W44">
        <v>390.10949999999968</v>
      </c>
    </row>
    <row r="45" spans="4:23">
      <c r="D45" s="40">
        <v>45899</v>
      </c>
      <c r="E45">
        <v>35</v>
      </c>
      <c r="F45" s="5">
        <v>75.600000000000009</v>
      </c>
      <c r="G45" s="5">
        <v>390.10949999999968</v>
      </c>
      <c r="I45" s="40">
        <v>45891</v>
      </c>
      <c r="J45" t="s">
        <v>41</v>
      </c>
      <c r="K45" s="5">
        <v>4.7857142857142803</v>
      </c>
      <c r="R45" s="41">
        <v>45899</v>
      </c>
      <c r="S45">
        <v>75.600000000000009</v>
      </c>
      <c r="T45">
        <v>5.5</v>
      </c>
      <c r="V45">
        <v>58.142857142857103</v>
      </c>
      <c r="W45">
        <v>390.10949999999968</v>
      </c>
    </row>
    <row r="46" spans="4:23">
      <c r="D46" s="40">
        <v>45900</v>
      </c>
      <c r="E46">
        <v>36</v>
      </c>
      <c r="F46" s="5">
        <v>232.5</v>
      </c>
      <c r="G46" s="5">
        <v>330.19000000000011</v>
      </c>
      <c r="I46" s="40">
        <v>45891</v>
      </c>
      <c r="J46" t="s">
        <v>46</v>
      </c>
      <c r="K46" s="5">
        <v>2100</v>
      </c>
      <c r="R46" s="41">
        <v>45900</v>
      </c>
      <c r="S46">
        <v>232.5</v>
      </c>
      <c r="T46">
        <v>8</v>
      </c>
      <c r="V46">
        <v>60.571428571428598</v>
      </c>
      <c r="W46">
        <v>330.19000000000011</v>
      </c>
    </row>
    <row r="47" spans="4:23">
      <c r="D47" s="40">
        <v>45900</v>
      </c>
      <c r="E47">
        <v>36</v>
      </c>
      <c r="F47" s="5">
        <v>174</v>
      </c>
      <c r="G47" s="5">
        <v>330.19000000000011</v>
      </c>
      <c r="I47" s="40">
        <v>45891</v>
      </c>
      <c r="J47" t="s">
        <v>163</v>
      </c>
      <c r="K47" s="5">
        <v>76</v>
      </c>
      <c r="R47" s="41">
        <v>45900</v>
      </c>
      <c r="S47">
        <v>174</v>
      </c>
      <c r="T47">
        <v>4.5</v>
      </c>
      <c r="V47">
        <v>60.571428571428598</v>
      </c>
      <c r="W47">
        <v>330.19000000000011</v>
      </c>
    </row>
    <row r="48" spans="4:23">
      <c r="D48" s="40">
        <v>45900</v>
      </c>
      <c r="E48">
        <v>36</v>
      </c>
      <c r="F48" s="5">
        <v>825</v>
      </c>
      <c r="G48" s="5">
        <v>330.19000000000011</v>
      </c>
      <c r="I48" s="40">
        <v>45891</v>
      </c>
      <c r="J48" t="s">
        <v>41</v>
      </c>
      <c r="K48" s="5">
        <v>8</v>
      </c>
      <c r="R48" s="41">
        <v>45900</v>
      </c>
      <c r="S48">
        <v>825</v>
      </c>
      <c r="T48">
        <v>7.5</v>
      </c>
      <c r="U48">
        <v>2500</v>
      </c>
      <c r="V48">
        <v>60.571428571428598</v>
      </c>
      <c r="W48">
        <v>330.19000000000011</v>
      </c>
    </row>
    <row r="49" spans="4:23">
      <c r="D49" s="40">
        <v>45901</v>
      </c>
      <c r="E49">
        <v>36</v>
      </c>
      <c r="F49" s="5">
        <v>120</v>
      </c>
      <c r="G49" s="5">
        <v>412.11449999999991</v>
      </c>
      <c r="I49" s="40">
        <v>45891</v>
      </c>
      <c r="J49" t="s">
        <v>46</v>
      </c>
      <c r="K49" s="5">
        <v>1000</v>
      </c>
      <c r="R49" s="41">
        <v>45901</v>
      </c>
      <c r="S49">
        <v>120</v>
      </c>
      <c r="T49">
        <v>8</v>
      </c>
      <c r="V49">
        <v>63</v>
      </c>
      <c r="W49">
        <v>412.11449999999991</v>
      </c>
    </row>
    <row r="50" spans="4:23">
      <c r="D50" s="40">
        <v>45901</v>
      </c>
      <c r="E50">
        <v>36</v>
      </c>
      <c r="F50" s="5">
        <v>166.5</v>
      </c>
      <c r="G50" s="5">
        <v>412.11449999999991</v>
      </c>
      <c r="I50" s="40">
        <v>45891</v>
      </c>
      <c r="J50" t="s">
        <v>163</v>
      </c>
      <c r="K50" s="5">
        <v>95.348484848484858</v>
      </c>
      <c r="R50" s="41">
        <v>45901</v>
      </c>
      <c r="S50">
        <v>166.5</v>
      </c>
      <c r="T50">
        <v>4.5</v>
      </c>
      <c r="V50">
        <v>63</v>
      </c>
      <c r="W50">
        <v>412.11449999999991</v>
      </c>
    </row>
    <row r="51" spans="4:23">
      <c r="D51" s="40">
        <v>45901</v>
      </c>
      <c r="E51">
        <v>36</v>
      </c>
      <c r="F51" s="5">
        <v>825</v>
      </c>
      <c r="G51" s="5">
        <v>412.11449999999991</v>
      </c>
      <c r="I51" s="40">
        <v>45891</v>
      </c>
      <c r="J51" t="s">
        <v>41</v>
      </c>
      <c r="K51" s="5">
        <v>5.5</v>
      </c>
      <c r="R51" s="41">
        <v>45901</v>
      </c>
      <c r="S51">
        <v>825</v>
      </c>
      <c r="T51">
        <v>7.5</v>
      </c>
      <c r="U51">
        <v>2500</v>
      </c>
      <c r="V51">
        <v>63</v>
      </c>
      <c r="W51">
        <v>412.11449999999991</v>
      </c>
    </row>
    <row r="52" spans="4:23">
      <c r="D52" s="40">
        <v>45902</v>
      </c>
      <c r="E52">
        <v>36</v>
      </c>
      <c r="F52" s="5">
        <v>120</v>
      </c>
      <c r="G52" s="5">
        <v>421.81799999999976</v>
      </c>
      <c r="I52" s="40">
        <v>45891</v>
      </c>
      <c r="J52" t="s">
        <v>46</v>
      </c>
      <c r="K52" s="5">
        <v>950</v>
      </c>
      <c r="R52" s="41">
        <v>45902</v>
      </c>
      <c r="S52">
        <v>120</v>
      </c>
      <c r="T52">
        <v>8</v>
      </c>
      <c r="V52">
        <v>65.428571428571402</v>
      </c>
      <c r="W52">
        <v>421.81799999999976</v>
      </c>
    </row>
    <row r="53" spans="4:23">
      <c r="D53" s="40">
        <v>45902</v>
      </c>
      <c r="E53">
        <v>36</v>
      </c>
      <c r="F53" s="5">
        <v>166.5</v>
      </c>
      <c r="G53" s="5">
        <v>421.81799999999976</v>
      </c>
      <c r="I53" s="40">
        <v>45891</v>
      </c>
      <c r="J53" t="s">
        <v>163</v>
      </c>
      <c r="K53" s="5">
        <v>85.708041958041932</v>
      </c>
      <c r="R53" s="41">
        <v>45902</v>
      </c>
      <c r="S53">
        <v>166.5</v>
      </c>
      <c r="T53">
        <v>4.5</v>
      </c>
      <c r="V53">
        <v>65.428571428571402</v>
      </c>
      <c r="W53">
        <v>421.81799999999976</v>
      </c>
    </row>
    <row r="54" spans="4:23">
      <c r="D54" s="40">
        <v>45902</v>
      </c>
      <c r="E54">
        <v>36</v>
      </c>
      <c r="F54" s="5">
        <v>825</v>
      </c>
      <c r="G54" s="5">
        <v>421.81799999999976</v>
      </c>
      <c r="I54" s="40">
        <v>45891</v>
      </c>
      <c r="J54" t="s">
        <v>46</v>
      </c>
      <c r="K54" s="5">
        <v>1500</v>
      </c>
      <c r="R54" s="41">
        <v>45902</v>
      </c>
      <c r="S54">
        <v>825</v>
      </c>
      <c r="T54">
        <v>7.5</v>
      </c>
      <c r="U54">
        <v>2500</v>
      </c>
      <c r="V54">
        <v>65.428571428571402</v>
      </c>
      <c r="W54">
        <v>421.81799999999976</v>
      </c>
    </row>
    <row r="55" spans="4:23">
      <c r="D55" s="40">
        <v>45903</v>
      </c>
      <c r="E55">
        <v>36</v>
      </c>
      <c r="F55" s="5">
        <v>232.5</v>
      </c>
      <c r="G55" s="5">
        <v>85.960000000000008</v>
      </c>
      <c r="I55" s="40">
        <v>45892</v>
      </c>
      <c r="J55" t="s">
        <v>163</v>
      </c>
      <c r="K55" s="5">
        <v>49.95</v>
      </c>
      <c r="R55" s="41">
        <v>45903</v>
      </c>
      <c r="S55">
        <v>232.5</v>
      </c>
      <c r="T55">
        <v>8</v>
      </c>
      <c r="V55">
        <v>20</v>
      </c>
      <c r="W55">
        <v>85.960000000000008</v>
      </c>
    </row>
    <row r="56" spans="4:23">
      <c r="D56" s="40">
        <v>45903</v>
      </c>
      <c r="E56">
        <v>36</v>
      </c>
      <c r="F56" s="5">
        <v>174</v>
      </c>
      <c r="G56" s="5">
        <v>85.960000000000008</v>
      </c>
      <c r="I56" s="40">
        <v>45892</v>
      </c>
      <c r="J56" t="s">
        <v>41</v>
      </c>
      <c r="K56" s="5">
        <v>6.5</v>
      </c>
      <c r="R56" s="41">
        <v>45903</v>
      </c>
      <c r="S56">
        <v>174</v>
      </c>
      <c r="T56">
        <v>4.5</v>
      </c>
      <c r="V56">
        <v>20</v>
      </c>
      <c r="W56">
        <v>85.960000000000008</v>
      </c>
    </row>
    <row r="57" spans="4:23">
      <c r="D57" s="40">
        <v>45903</v>
      </c>
      <c r="E57">
        <v>36</v>
      </c>
      <c r="F57" s="5">
        <v>825</v>
      </c>
      <c r="G57" s="5">
        <v>85.960000000000008</v>
      </c>
      <c r="I57" s="40">
        <v>45892</v>
      </c>
      <c r="J57" t="s">
        <v>130</v>
      </c>
      <c r="K57" s="5">
        <v>30</v>
      </c>
      <c r="R57" s="41">
        <v>45903</v>
      </c>
      <c r="S57">
        <v>825</v>
      </c>
      <c r="T57">
        <v>7.5</v>
      </c>
      <c r="U57">
        <v>2500</v>
      </c>
      <c r="V57">
        <v>20</v>
      </c>
      <c r="W57">
        <v>85.960000000000008</v>
      </c>
    </row>
    <row r="58" spans="4:23">
      <c r="D58" s="40">
        <v>45904</v>
      </c>
      <c r="E58">
        <v>36</v>
      </c>
      <c r="F58" s="5">
        <v>232.5</v>
      </c>
      <c r="G58" s="5">
        <v>12.6875</v>
      </c>
      <c r="I58" s="40">
        <v>45892</v>
      </c>
      <c r="J58" t="s">
        <v>164</v>
      </c>
      <c r="K58" s="5">
        <v>181.125</v>
      </c>
      <c r="R58" s="41">
        <v>45904</v>
      </c>
      <c r="S58">
        <v>232.5</v>
      </c>
      <c r="T58">
        <v>8</v>
      </c>
      <c r="V58">
        <v>5</v>
      </c>
      <c r="W58">
        <v>12.6875</v>
      </c>
    </row>
    <row r="59" spans="4:23">
      <c r="D59" s="40">
        <v>45904</v>
      </c>
      <c r="E59">
        <v>36</v>
      </c>
      <c r="F59" s="5">
        <v>174</v>
      </c>
      <c r="G59" s="5">
        <v>12.6875</v>
      </c>
      <c r="I59" s="40">
        <v>45892</v>
      </c>
      <c r="J59" t="s">
        <v>163</v>
      </c>
      <c r="K59" s="5">
        <v>178.4128787878787</v>
      </c>
      <c r="R59" s="41">
        <v>45904</v>
      </c>
      <c r="S59">
        <v>174</v>
      </c>
      <c r="V59">
        <v>5</v>
      </c>
      <c r="W59">
        <v>12.6875</v>
      </c>
    </row>
    <row r="60" spans="4:23">
      <c r="D60" s="40">
        <v>45904</v>
      </c>
      <c r="E60">
        <v>36</v>
      </c>
      <c r="F60" s="5">
        <v>825</v>
      </c>
      <c r="G60" s="5">
        <v>12.6875</v>
      </c>
      <c r="I60" s="40">
        <v>45892</v>
      </c>
      <c r="J60" t="s">
        <v>41</v>
      </c>
      <c r="K60" s="5">
        <v>3.6428571428571401</v>
      </c>
      <c r="R60" s="41">
        <v>45904</v>
      </c>
      <c r="S60">
        <v>825</v>
      </c>
      <c r="U60">
        <v>2500</v>
      </c>
      <c r="V60">
        <v>5</v>
      </c>
      <c r="W60">
        <v>12.6875</v>
      </c>
    </row>
    <row r="61" spans="4:23">
      <c r="D61" s="40">
        <v>45905</v>
      </c>
      <c r="E61">
        <v>36</v>
      </c>
      <c r="F61" s="5">
        <v>232.5</v>
      </c>
      <c r="G61" s="5">
        <v>213.15</v>
      </c>
      <c r="I61" s="40">
        <v>45892</v>
      </c>
      <c r="J61" t="s">
        <v>46</v>
      </c>
      <c r="K61" s="5">
        <v>1200</v>
      </c>
      <c r="R61" s="41">
        <v>45905</v>
      </c>
      <c r="S61">
        <v>232.5</v>
      </c>
      <c r="T61">
        <v>8</v>
      </c>
      <c r="V61">
        <v>60</v>
      </c>
      <c r="W61">
        <v>213.15</v>
      </c>
    </row>
    <row r="62" spans="4:23">
      <c r="D62" s="40">
        <v>45905</v>
      </c>
      <c r="E62">
        <v>36</v>
      </c>
      <c r="F62" s="5">
        <v>174</v>
      </c>
      <c r="G62" s="5">
        <v>213.15</v>
      </c>
      <c r="I62" s="40">
        <v>45892</v>
      </c>
      <c r="J62" t="s">
        <v>163</v>
      </c>
      <c r="K62" s="5">
        <v>53.799533799533769</v>
      </c>
      <c r="R62" s="41">
        <v>45905</v>
      </c>
      <c r="S62">
        <v>174</v>
      </c>
      <c r="V62">
        <v>60</v>
      </c>
      <c r="W62">
        <v>213.15</v>
      </c>
    </row>
    <row r="63" spans="4:23">
      <c r="D63" s="40">
        <v>45905</v>
      </c>
      <c r="E63">
        <v>36</v>
      </c>
      <c r="F63" s="5">
        <v>825</v>
      </c>
      <c r="G63" s="5">
        <v>213.15</v>
      </c>
      <c r="I63" s="40">
        <v>45892</v>
      </c>
      <c r="J63" t="s">
        <v>41</v>
      </c>
      <c r="K63" s="5">
        <v>8.5</v>
      </c>
      <c r="R63" s="41">
        <v>45905</v>
      </c>
      <c r="S63">
        <v>825</v>
      </c>
      <c r="U63">
        <v>2500</v>
      </c>
      <c r="V63">
        <v>60</v>
      </c>
      <c r="W63">
        <v>213.15</v>
      </c>
    </row>
    <row r="64" spans="4:23">
      <c r="D64" s="40"/>
      <c r="F64" s="5"/>
      <c r="G64" s="5"/>
      <c r="I64" s="40">
        <v>45892</v>
      </c>
      <c r="J64" t="s">
        <v>46</v>
      </c>
      <c r="K64" s="5">
        <v>2000</v>
      </c>
    </row>
    <row r="65" spans="4:11">
      <c r="D65" s="40"/>
      <c r="F65" s="5"/>
      <c r="G65" s="5"/>
      <c r="I65" s="40">
        <v>45892</v>
      </c>
      <c r="J65" t="s">
        <v>163</v>
      </c>
      <c r="K65" s="5">
        <v>102.74038461538467</v>
      </c>
    </row>
    <row r="66" spans="4:11">
      <c r="I66" s="40">
        <v>45892</v>
      </c>
      <c r="J66" t="s">
        <v>41</v>
      </c>
      <c r="K66" s="5">
        <v>7</v>
      </c>
    </row>
    <row r="67" spans="4:11">
      <c r="I67" s="40">
        <v>45892</v>
      </c>
      <c r="J67" t="s">
        <v>46</v>
      </c>
      <c r="K67" s="5">
        <v>1800</v>
      </c>
    </row>
    <row r="68" spans="4:11">
      <c r="I68" s="40">
        <v>45893</v>
      </c>
      <c r="J68" t="s">
        <v>163</v>
      </c>
      <c r="K68" s="5">
        <v>4.1000000000000005</v>
      </c>
    </row>
    <row r="69" spans="4:11">
      <c r="I69" s="40">
        <v>45893</v>
      </c>
      <c r="J69" t="s">
        <v>41</v>
      </c>
      <c r="K69" s="5">
        <v>5</v>
      </c>
    </row>
    <row r="70" spans="4:11">
      <c r="I70" s="40">
        <v>45893</v>
      </c>
      <c r="J70" t="s">
        <v>130</v>
      </c>
      <c r="K70" s="5">
        <v>60</v>
      </c>
    </row>
    <row r="71" spans="4:11">
      <c r="I71" s="40">
        <v>45893</v>
      </c>
      <c r="J71" t="s">
        <v>164</v>
      </c>
      <c r="K71" s="5">
        <v>217.35</v>
      </c>
    </row>
    <row r="72" spans="4:11">
      <c r="I72" s="40">
        <v>45893</v>
      </c>
      <c r="J72" t="s">
        <v>163</v>
      </c>
      <c r="K72" s="5">
        <v>143.21095571095577</v>
      </c>
    </row>
    <row r="73" spans="4:11">
      <c r="I73" s="40">
        <v>45893</v>
      </c>
      <c r="J73" t="s">
        <v>41</v>
      </c>
      <c r="K73" s="5">
        <v>9</v>
      </c>
    </row>
    <row r="74" spans="4:11">
      <c r="I74" s="40">
        <v>45893</v>
      </c>
      <c r="J74" t="s">
        <v>46</v>
      </c>
      <c r="K74" s="5">
        <v>2100</v>
      </c>
    </row>
    <row r="75" spans="4:11">
      <c r="I75" s="40">
        <v>45893</v>
      </c>
      <c r="J75" t="s">
        <v>163</v>
      </c>
      <c r="K75" s="5">
        <v>8.3682983682983689</v>
      </c>
    </row>
    <row r="76" spans="4:11">
      <c r="I76" s="40">
        <v>45893</v>
      </c>
      <c r="J76" t="s">
        <v>46</v>
      </c>
      <c r="K76" s="5">
        <v>1000</v>
      </c>
    </row>
    <row r="77" spans="4:11">
      <c r="I77" s="40">
        <v>45893</v>
      </c>
      <c r="J77" t="s">
        <v>163</v>
      </c>
      <c r="K77" s="5">
        <v>37.855477855477837</v>
      </c>
    </row>
    <row r="78" spans="4:11">
      <c r="I78" s="40">
        <v>45893</v>
      </c>
      <c r="J78" t="s">
        <v>41</v>
      </c>
      <c r="K78" s="5">
        <v>8</v>
      </c>
    </row>
    <row r="79" spans="4:11">
      <c r="I79" s="40">
        <v>45893</v>
      </c>
      <c r="J79" t="s">
        <v>46</v>
      </c>
      <c r="K79" s="5">
        <v>2000</v>
      </c>
    </row>
    <row r="80" spans="4:11">
      <c r="I80" s="40">
        <v>45893</v>
      </c>
      <c r="J80" t="s">
        <v>163</v>
      </c>
      <c r="K80" s="5">
        <v>49.110722610722569</v>
      </c>
    </row>
    <row r="81" spans="9:11">
      <c r="I81" s="40">
        <v>45893</v>
      </c>
      <c r="J81" t="s">
        <v>46</v>
      </c>
      <c r="K81" s="5">
        <v>1500</v>
      </c>
    </row>
    <row r="82" spans="9:11">
      <c r="I82" s="40">
        <v>45894</v>
      </c>
      <c r="J82" t="s">
        <v>163</v>
      </c>
      <c r="K82" s="5">
        <v>250</v>
      </c>
    </row>
    <row r="83" spans="9:11">
      <c r="I83" s="40">
        <v>45894</v>
      </c>
      <c r="J83" t="s">
        <v>41</v>
      </c>
      <c r="K83" s="5">
        <v>7</v>
      </c>
    </row>
    <row r="84" spans="9:11">
      <c r="I84" s="40">
        <v>45894</v>
      </c>
      <c r="J84" t="s">
        <v>130</v>
      </c>
      <c r="K84" s="5">
        <v>46</v>
      </c>
    </row>
    <row r="85" spans="9:11">
      <c r="I85" s="40">
        <v>45894</v>
      </c>
      <c r="J85" t="s">
        <v>164</v>
      </c>
      <c r="K85" s="5">
        <v>278.52999999999997</v>
      </c>
    </row>
    <row r="86" spans="9:11">
      <c r="I86" s="40">
        <v>45894</v>
      </c>
      <c r="J86" t="s">
        <v>163</v>
      </c>
      <c r="K86" s="5">
        <v>41.46328671328687</v>
      </c>
    </row>
    <row r="87" spans="9:11">
      <c r="I87" s="40">
        <v>45894</v>
      </c>
      <c r="J87" t="s">
        <v>41</v>
      </c>
      <c r="K87" s="5">
        <v>6</v>
      </c>
    </row>
    <row r="88" spans="9:11">
      <c r="I88" s="40">
        <v>45894</v>
      </c>
      <c r="J88" t="s">
        <v>46</v>
      </c>
      <c r="K88" s="5">
        <v>1200</v>
      </c>
    </row>
    <row r="89" spans="9:11">
      <c r="I89" s="40">
        <v>45894</v>
      </c>
      <c r="J89" t="s">
        <v>163</v>
      </c>
      <c r="K89" s="5">
        <v>67.333333333332561</v>
      </c>
    </row>
    <row r="90" spans="9:11">
      <c r="I90" s="40">
        <v>45894</v>
      </c>
      <c r="J90" t="s">
        <v>41</v>
      </c>
      <c r="K90" s="5">
        <v>10</v>
      </c>
    </row>
    <row r="91" spans="9:11">
      <c r="I91" s="40">
        <v>45894</v>
      </c>
      <c r="J91" t="s">
        <v>46</v>
      </c>
      <c r="K91" s="5">
        <v>1000</v>
      </c>
    </row>
    <row r="92" spans="9:11">
      <c r="I92" s="40">
        <v>45894</v>
      </c>
      <c r="J92" t="s">
        <v>163</v>
      </c>
      <c r="K92" s="5">
        <v>21.911421911422</v>
      </c>
    </row>
    <row r="93" spans="9:11">
      <c r="I93" s="40">
        <v>45894</v>
      </c>
      <c r="J93" t="s">
        <v>46</v>
      </c>
      <c r="K93" s="5">
        <v>2900</v>
      </c>
    </row>
    <row r="94" spans="9:11">
      <c r="I94" s="40">
        <v>45895</v>
      </c>
      <c r="J94" t="s">
        <v>163</v>
      </c>
      <c r="K94" s="5">
        <v>77.800000000000011</v>
      </c>
    </row>
    <row r="95" spans="9:11">
      <c r="I95" s="40">
        <v>45895</v>
      </c>
      <c r="J95" t="s">
        <v>41</v>
      </c>
      <c r="K95" s="5">
        <v>8</v>
      </c>
    </row>
    <row r="96" spans="9:11">
      <c r="I96" s="40">
        <v>45895</v>
      </c>
      <c r="J96" t="s">
        <v>130</v>
      </c>
      <c r="K96" s="5">
        <v>48.428571428571402</v>
      </c>
    </row>
    <row r="97" spans="9:11">
      <c r="I97" s="40">
        <v>45895</v>
      </c>
      <c r="J97" t="s">
        <v>164</v>
      </c>
      <c r="K97" s="5">
        <v>469.17599999999976</v>
      </c>
    </row>
    <row r="98" spans="9:11">
      <c r="I98" s="40">
        <v>45895</v>
      </c>
      <c r="J98" t="s">
        <v>163</v>
      </c>
      <c r="K98" s="5">
        <v>34.730477855477226</v>
      </c>
    </row>
    <row r="99" spans="9:11">
      <c r="I99" s="40">
        <v>45895</v>
      </c>
      <c r="J99" t="s">
        <v>41</v>
      </c>
      <c r="K99" s="5">
        <v>8.5</v>
      </c>
    </row>
    <row r="100" spans="9:11">
      <c r="I100" s="40">
        <v>45895</v>
      </c>
      <c r="J100" t="s">
        <v>46</v>
      </c>
      <c r="K100" s="5">
        <v>2100</v>
      </c>
    </row>
    <row r="101" spans="9:11">
      <c r="I101" s="40">
        <v>45895</v>
      </c>
      <c r="J101" t="s">
        <v>163</v>
      </c>
      <c r="K101" s="5">
        <v>6.0984848484848753</v>
      </c>
    </row>
    <row r="102" spans="9:11">
      <c r="I102" s="40">
        <v>45895</v>
      </c>
      <c r="J102" t="s">
        <v>46</v>
      </c>
      <c r="K102" s="5">
        <v>1000</v>
      </c>
    </row>
    <row r="103" spans="9:11">
      <c r="I103" s="40">
        <v>45895</v>
      </c>
      <c r="J103" t="s">
        <v>163</v>
      </c>
      <c r="K103" s="5">
        <v>20.40442890442818</v>
      </c>
    </row>
    <row r="104" spans="9:11">
      <c r="I104" s="40">
        <v>45895</v>
      </c>
      <c r="J104" t="s">
        <v>41</v>
      </c>
      <c r="K104" s="5">
        <v>9</v>
      </c>
    </row>
    <row r="105" spans="9:11">
      <c r="I105" s="40">
        <v>45895</v>
      </c>
      <c r="J105" t="s">
        <v>46</v>
      </c>
      <c r="K105" s="5">
        <v>800</v>
      </c>
    </row>
    <row r="106" spans="9:11">
      <c r="I106" s="40">
        <v>45896</v>
      </c>
      <c r="J106" t="s">
        <v>163</v>
      </c>
      <c r="K106" s="5">
        <v>40</v>
      </c>
    </row>
    <row r="107" spans="9:11">
      <c r="I107" s="40">
        <v>45896</v>
      </c>
      <c r="J107" t="s">
        <v>41</v>
      </c>
      <c r="K107" s="5">
        <v>5</v>
      </c>
    </row>
    <row r="108" spans="9:11">
      <c r="I108" s="40">
        <v>45896</v>
      </c>
      <c r="J108" t="s">
        <v>46</v>
      </c>
      <c r="K108" s="5">
        <v>1500</v>
      </c>
    </row>
    <row r="109" spans="9:11">
      <c r="I109" s="40">
        <v>45896</v>
      </c>
      <c r="J109" t="s">
        <v>130</v>
      </c>
      <c r="K109" s="5">
        <v>50.857142857142797</v>
      </c>
    </row>
    <row r="110" spans="9:11">
      <c r="I110" s="40">
        <v>45896</v>
      </c>
      <c r="J110" t="s">
        <v>164</v>
      </c>
      <c r="K110" s="5">
        <v>304.82499999999965</v>
      </c>
    </row>
    <row r="111" spans="9:11">
      <c r="I111" s="40">
        <v>45896</v>
      </c>
      <c r="J111" t="s">
        <v>163</v>
      </c>
      <c r="K111" s="5">
        <v>26.786635586635363</v>
      </c>
    </row>
    <row r="112" spans="9:11">
      <c r="I112" s="40">
        <v>45896</v>
      </c>
      <c r="J112" t="s">
        <v>41</v>
      </c>
      <c r="K112" s="5">
        <v>6.8333333333333304</v>
      </c>
    </row>
    <row r="113" spans="9:11">
      <c r="I113" s="40">
        <v>45897</v>
      </c>
      <c r="J113" t="s">
        <v>163</v>
      </c>
      <c r="K113" s="5">
        <v>139.74120102119977</v>
      </c>
    </row>
    <row r="114" spans="9:11">
      <c r="I114" s="40">
        <v>45897</v>
      </c>
      <c r="J114" t="s">
        <v>41</v>
      </c>
      <c r="K114" s="5">
        <v>6.6190476190476204</v>
      </c>
    </row>
    <row r="115" spans="9:11">
      <c r="I115" s="40">
        <v>45897</v>
      </c>
      <c r="J115" t="s">
        <v>46</v>
      </c>
      <c r="K115" s="5">
        <v>2000</v>
      </c>
    </row>
    <row r="116" spans="9:11">
      <c r="I116" s="40">
        <v>45897</v>
      </c>
      <c r="J116" t="s">
        <v>130</v>
      </c>
      <c r="K116" s="5">
        <v>53.285714285714299</v>
      </c>
    </row>
    <row r="117" spans="9:11">
      <c r="I117" s="40">
        <v>45897</v>
      </c>
      <c r="J117" t="s">
        <v>164</v>
      </c>
      <c r="K117" s="5">
        <v>383.25750000000011</v>
      </c>
    </row>
    <row r="118" spans="9:11">
      <c r="I118" s="40">
        <v>45897</v>
      </c>
      <c r="J118" t="s">
        <v>163</v>
      </c>
      <c r="K118" s="5">
        <v>375</v>
      </c>
    </row>
    <row r="119" spans="9:11">
      <c r="I119" s="40">
        <v>45897</v>
      </c>
      <c r="J119" t="s">
        <v>41</v>
      </c>
      <c r="K119" s="5">
        <v>7</v>
      </c>
    </row>
    <row r="120" spans="9:11">
      <c r="I120" s="40">
        <v>45898</v>
      </c>
      <c r="J120" t="s">
        <v>163</v>
      </c>
      <c r="K120" s="5">
        <v>80</v>
      </c>
    </row>
    <row r="121" spans="9:11">
      <c r="I121" s="40">
        <v>45898</v>
      </c>
      <c r="J121" t="s">
        <v>41</v>
      </c>
      <c r="K121" s="5">
        <v>8</v>
      </c>
    </row>
    <row r="122" spans="9:11">
      <c r="I122" s="40">
        <v>45898</v>
      </c>
      <c r="J122" t="s">
        <v>130</v>
      </c>
      <c r="K122" s="5">
        <v>55.714285714285701</v>
      </c>
    </row>
    <row r="123" spans="9:11">
      <c r="I123" s="40">
        <v>45898</v>
      </c>
      <c r="J123" t="s">
        <v>164</v>
      </c>
      <c r="K123" s="5">
        <v>249.20999999999992</v>
      </c>
    </row>
    <row r="124" spans="9:11">
      <c r="I124" s="40">
        <v>45898</v>
      </c>
      <c r="J124" t="s">
        <v>163</v>
      </c>
      <c r="K124" s="5">
        <v>55.5</v>
      </c>
    </row>
    <row r="125" spans="9:11">
      <c r="I125" s="40">
        <v>45898</v>
      </c>
      <c r="J125" t="s">
        <v>41</v>
      </c>
      <c r="K125" s="5">
        <v>5</v>
      </c>
    </row>
    <row r="126" spans="9:11">
      <c r="I126" s="40">
        <v>45898</v>
      </c>
      <c r="J126" t="s">
        <v>163</v>
      </c>
      <c r="K126" s="5">
        <v>160</v>
      </c>
    </row>
    <row r="127" spans="9:11">
      <c r="I127" s="40">
        <v>45898</v>
      </c>
      <c r="J127" t="s">
        <v>41</v>
      </c>
      <c r="K127" s="5">
        <v>4</v>
      </c>
    </row>
    <row r="128" spans="9:11">
      <c r="I128" s="40">
        <v>45899</v>
      </c>
      <c r="J128" t="s">
        <v>163</v>
      </c>
      <c r="K128" s="5">
        <v>58.349999999999994</v>
      </c>
    </row>
    <row r="129" spans="9:11">
      <c r="I129" s="40">
        <v>45899</v>
      </c>
      <c r="J129" t="s">
        <v>41</v>
      </c>
      <c r="K129" s="5">
        <v>6.6190476190476204</v>
      </c>
    </row>
    <row r="130" spans="9:11">
      <c r="I130" s="40">
        <v>45899</v>
      </c>
      <c r="J130" t="s">
        <v>46</v>
      </c>
      <c r="K130" s="5">
        <v>2000</v>
      </c>
    </row>
    <row r="131" spans="9:11">
      <c r="I131" s="40">
        <v>45899</v>
      </c>
      <c r="J131" t="s">
        <v>130</v>
      </c>
      <c r="K131" s="5">
        <v>58.142857142857103</v>
      </c>
    </row>
    <row r="132" spans="9:11">
      <c r="I132" s="40">
        <v>45899</v>
      </c>
      <c r="J132" t="s">
        <v>164</v>
      </c>
      <c r="K132" s="5">
        <v>390.10949999999968</v>
      </c>
    </row>
    <row r="133" spans="9:11">
      <c r="I133" s="40">
        <v>45899</v>
      </c>
      <c r="J133" t="s">
        <v>163</v>
      </c>
      <c r="K133" s="5">
        <v>312</v>
      </c>
    </row>
    <row r="134" spans="9:11">
      <c r="I134" s="40">
        <v>45899</v>
      </c>
      <c r="J134" t="s">
        <v>41</v>
      </c>
      <c r="K134" s="5">
        <v>7</v>
      </c>
    </row>
    <row r="135" spans="9:11">
      <c r="I135" s="40">
        <v>45899</v>
      </c>
      <c r="J135" t="s">
        <v>163</v>
      </c>
      <c r="K135" s="5">
        <v>75.600000000000009</v>
      </c>
    </row>
    <row r="136" spans="9:11">
      <c r="I136" s="40">
        <v>45899</v>
      </c>
      <c r="J136" t="s">
        <v>41</v>
      </c>
      <c r="K136" s="5">
        <v>5.5</v>
      </c>
    </row>
    <row r="137" spans="9:11">
      <c r="I137" s="40">
        <v>45900</v>
      </c>
      <c r="J137" t="s">
        <v>163</v>
      </c>
      <c r="K137" s="5">
        <v>232.5</v>
      </c>
    </row>
    <row r="138" spans="9:11">
      <c r="I138" s="40">
        <v>45900</v>
      </c>
      <c r="J138" t="s">
        <v>41</v>
      </c>
      <c r="K138" s="5">
        <v>8</v>
      </c>
    </row>
    <row r="139" spans="9:11">
      <c r="I139" s="40">
        <v>45900</v>
      </c>
      <c r="J139" t="s">
        <v>130</v>
      </c>
      <c r="K139" s="5">
        <v>60.571428571428598</v>
      </c>
    </row>
    <row r="140" spans="9:11">
      <c r="I140" s="40">
        <v>45900</v>
      </c>
      <c r="J140" t="s">
        <v>164</v>
      </c>
      <c r="K140" s="5">
        <v>330.19000000000011</v>
      </c>
    </row>
    <row r="141" spans="9:11">
      <c r="I141" s="40">
        <v>45900</v>
      </c>
      <c r="J141" t="s">
        <v>163</v>
      </c>
      <c r="K141" s="5">
        <v>174</v>
      </c>
    </row>
    <row r="142" spans="9:11">
      <c r="I142" s="40">
        <v>45900</v>
      </c>
      <c r="J142" t="s">
        <v>41</v>
      </c>
      <c r="K142" s="5">
        <v>4.5</v>
      </c>
    </row>
    <row r="143" spans="9:11">
      <c r="I143" s="40">
        <v>45900</v>
      </c>
      <c r="J143" t="s">
        <v>163</v>
      </c>
      <c r="K143" s="5">
        <v>825</v>
      </c>
    </row>
    <row r="144" spans="9:11">
      <c r="I144" s="40">
        <v>45900</v>
      </c>
      <c r="J144" t="s">
        <v>41</v>
      </c>
      <c r="K144" s="5">
        <v>7.5</v>
      </c>
    </row>
    <row r="145" spans="9:11">
      <c r="I145" s="40">
        <v>45900</v>
      </c>
      <c r="J145" t="s">
        <v>46</v>
      </c>
      <c r="K145" s="5">
        <v>2500</v>
      </c>
    </row>
    <row r="146" spans="9:11">
      <c r="I146" s="40">
        <v>45901</v>
      </c>
      <c r="J146" t="s">
        <v>163</v>
      </c>
      <c r="K146" s="5">
        <v>120</v>
      </c>
    </row>
    <row r="147" spans="9:11">
      <c r="I147" s="40">
        <v>45901</v>
      </c>
      <c r="J147" t="s">
        <v>41</v>
      </c>
      <c r="K147" s="5">
        <v>8</v>
      </c>
    </row>
    <row r="148" spans="9:11">
      <c r="I148" s="40">
        <v>45901</v>
      </c>
      <c r="J148" t="s">
        <v>130</v>
      </c>
      <c r="K148" s="5">
        <v>63</v>
      </c>
    </row>
    <row r="149" spans="9:11">
      <c r="I149" s="40">
        <v>45901</v>
      </c>
      <c r="J149" t="s">
        <v>164</v>
      </c>
      <c r="K149" s="5">
        <v>412.11449999999991</v>
      </c>
    </row>
    <row r="150" spans="9:11">
      <c r="I150" s="40">
        <v>45901</v>
      </c>
      <c r="J150" t="s">
        <v>163</v>
      </c>
      <c r="K150" s="5">
        <v>166.5</v>
      </c>
    </row>
    <row r="151" spans="9:11">
      <c r="I151" s="40">
        <v>45901</v>
      </c>
      <c r="J151" t="s">
        <v>41</v>
      </c>
      <c r="K151" s="5">
        <v>4.5</v>
      </c>
    </row>
    <row r="152" spans="9:11">
      <c r="I152" s="40">
        <v>45901</v>
      </c>
      <c r="J152" t="s">
        <v>163</v>
      </c>
      <c r="K152" s="5">
        <v>825</v>
      </c>
    </row>
    <row r="153" spans="9:11">
      <c r="I153" s="40">
        <v>45901</v>
      </c>
      <c r="J153" t="s">
        <v>41</v>
      </c>
      <c r="K153" s="5">
        <v>7.5</v>
      </c>
    </row>
    <row r="154" spans="9:11">
      <c r="I154" s="40">
        <v>45901</v>
      </c>
      <c r="J154" t="s">
        <v>46</v>
      </c>
      <c r="K154" s="5">
        <v>2500</v>
      </c>
    </row>
    <row r="155" spans="9:11">
      <c r="I155" s="40">
        <v>45902</v>
      </c>
      <c r="J155" t="s">
        <v>163</v>
      </c>
      <c r="K155" s="5">
        <v>120</v>
      </c>
    </row>
    <row r="156" spans="9:11">
      <c r="I156" s="40">
        <v>45902</v>
      </c>
      <c r="J156" t="s">
        <v>41</v>
      </c>
      <c r="K156" s="5">
        <v>8</v>
      </c>
    </row>
    <row r="157" spans="9:11">
      <c r="I157" s="40">
        <v>45902</v>
      </c>
      <c r="J157" t="s">
        <v>130</v>
      </c>
      <c r="K157" s="5">
        <v>65.428571428571402</v>
      </c>
    </row>
    <row r="158" spans="9:11">
      <c r="I158" s="40">
        <v>45902</v>
      </c>
      <c r="J158" t="s">
        <v>164</v>
      </c>
      <c r="K158" s="5">
        <v>421.81799999999976</v>
      </c>
    </row>
    <row r="159" spans="9:11">
      <c r="I159" s="40">
        <v>45902</v>
      </c>
      <c r="J159" t="s">
        <v>163</v>
      </c>
      <c r="K159" s="5">
        <v>166.5</v>
      </c>
    </row>
    <row r="160" spans="9:11">
      <c r="I160" s="40">
        <v>45902</v>
      </c>
      <c r="J160" t="s">
        <v>41</v>
      </c>
      <c r="K160" s="5">
        <v>4.5</v>
      </c>
    </row>
    <row r="161" spans="9:11">
      <c r="I161" s="40">
        <v>45902</v>
      </c>
      <c r="J161" t="s">
        <v>163</v>
      </c>
      <c r="K161" s="5">
        <v>825</v>
      </c>
    </row>
    <row r="162" spans="9:11">
      <c r="I162" s="40">
        <v>45902</v>
      </c>
      <c r="J162" t="s">
        <v>41</v>
      </c>
      <c r="K162" s="5">
        <v>7.5</v>
      </c>
    </row>
    <row r="163" spans="9:11">
      <c r="I163" s="40">
        <v>45902</v>
      </c>
      <c r="J163" t="s">
        <v>46</v>
      </c>
      <c r="K163" s="5">
        <v>2500</v>
      </c>
    </row>
    <row r="164" spans="9:11">
      <c r="I164" s="40">
        <v>45903</v>
      </c>
      <c r="J164" t="s">
        <v>163</v>
      </c>
      <c r="K164" s="5">
        <v>232.5</v>
      </c>
    </row>
    <row r="165" spans="9:11">
      <c r="I165" s="40">
        <v>45903</v>
      </c>
      <c r="J165" t="s">
        <v>41</v>
      </c>
      <c r="K165" s="5">
        <v>8</v>
      </c>
    </row>
    <row r="166" spans="9:11">
      <c r="I166" s="40">
        <v>45903</v>
      </c>
      <c r="J166" t="s">
        <v>130</v>
      </c>
      <c r="K166" s="5">
        <v>20</v>
      </c>
    </row>
    <row r="167" spans="9:11">
      <c r="I167" s="40">
        <v>45903</v>
      </c>
      <c r="J167" t="s">
        <v>164</v>
      </c>
      <c r="K167" s="5">
        <v>85.960000000000008</v>
      </c>
    </row>
    <row r="168" spans="9:11">
      <c r="I168" s="40">
        <v>45903</v>
      </c>
      <c r="J168" t="s">
        <v>163</v>
      </c>
      <c r="K168" s="5">
        <v>174</v>
      </c>
    </row>
    <row r="169" spans="9:11">
      <c r="I169" s="40">
        <v>45903</v>
      </c>
      <c r="J169" t="s">
        <v>41</v>
      </c>
      <c r="K169" s="5">
        <v>4.5</v>
      </c>
    </row>
    <row r="170" spans="9:11">
      <c r="I170" s="40">
        <v>45903</v>
      </c>
      <c r="J170" t="s">
        <v>163</v>
      </c>
      <c r="K170" s="5">
        <v>825</v>
      </c>
    </row>
    <row r="171" spans="9:11">
      <c r="I171" s="40">
        <v>45903</v>
      </c>
      <c r="J171" t="s">
        <v>41</v>
      </c>
      <c r="K171" s="5">
        <v>7.5</v>
      </c>
    </row>
    <row r="172" spans="9:11">
      <c r="I172" s="40">
        <v>45903</v>
      </c>
      <c r="J172" t="s">
        <v>46</v>
      </c>
      <c r="K172" s="5">
        <v>2500</v>
      </c>
    </row>
    <row r="173" spans="9:11">
      <c r="I173" s="40">
        <v>45904</v>
      </c>
      <c r="J173" t="s">
        <v>163</v>
      </c>
      <c r="K173" s="5">
        <v>232.5</v>
      </c>
    </row>
    <row r="174" spans="9:11">
      <c r="I174" s="40">
        <v>45904</v>
      </c>
      <c r="J174" t="s">
        <v>41</v>
      </c>
      <c r="K174" s="5">
        <v>8</v>
      </c>
    </row>
    <row r="175" spans="9:11">
      <c r="I175" s="40">
        <v>45904</v>
      </c>
      <c r="J175" t="s">
        <v>130</v>
      </c>
      <c r="K175" s="5">
        <v>5</v>
      </c>
    </row>
    <row r="176" spans="9:11">
      <c r="I176" s="40">
        <v>45904</v>
      </c>
      <c r="J176" t="s">
        <v>164</v>
      </c>
      <c r="K176" s="5">
        <v>12.6875</v>
      </c>
    </row>
    <row r="177" spans="9:11">
      <c r="I177" s="40">
        <v>45904</v>
      </c>
      <c r="J177" t="s">
        <v>163</v>
      </c>
      <c r="K177" s="5">
        <v>174</v>
      </c>
    </row>
    <row r="178" spans="9:11">
      <c r="I178" s="40">
        <v>45904</v>
      </c>
      <c r="J178" t="s">
        <v>163</v>
      </c>
      <c r="K178" s="5">
        <v>825</v>
      </c>
    </row>
    <row r="179" spans="9:11">
      <c r="I179" s="40">
        <v>45904</v>
      </c>
      <c r="J179" t="s">
        <v>46</v>
      </c>
      <c r="K179" s="5">
        <v>2500</v>
      </c>
    </row>
    <row r="180" spans="9:11">
      <c r="I180" s="40">
        <v>45905</v>
      </c>
      <c r="J180" t="s">
        <v>163</v>
      </c>
      <c r="K180" s="5">
        <v>232.5</v>
      </c>
    </row>
    <row r="181" spans="9:11">
      <c r="I181" s="40">
        <v>45905</v>
      </c>
      <c r="J181" t="s">
        <v>41</v>
      </c>
      <c r="K181" s="5">
        <v>8</v>
      </c>
    </row>
    <row r="182" spans="9:11">
      <c r="I182" s="40">
        <v>45905</v>
      </c>
      <c r="J182" t="s">
        <v>130</v>
      </c>
      <c r="K182" s="5">
        <v>60</v>
      </c>
    </row>
    <row r="183" spans="9:11">
      <c r="I183" s="40">
        <v>45905</v>
      </c>
      <c r="J183" t="s">
        <v>164</v>
      </c>
      <c r="K183" s="5">
        <v>213.15</v>
      </c>
    </row>
    <row r="184" spans="9:11">
      <c r="I184" s="40">
        <v>45905</v>
      </c>
      <c r="J184" t="s">
        <v>163</v>
      </c>
      <c r="K184" s="5">
        <v>174</v>
      </c>
    </row>
    <row r="185" spans="9:11">
      <c r="I185" s="40">
        <v>45905</v>
      </c>
      <c r="J185" t="s">
        <v>163</v>
      </c>
      <c r="K185" s="5">
        <v>825</v>
      </c>
    </row>
    <row r="186" spans="9:11">
      <c r="I186" s="40">
        <v>45905</v>
      </c>
      <c r="J186" t="s">
        <v>46</v>
      </c>
      <c r="K186" s="5">
        <v>2500</v>
      </c>
    </row>
  </sheetData>
  <phoneticPr fontId="2" type="noConversion"/>
  <pageMargins left="0.7" right="0.7" top="0.75" bottom="0.75" header="0.3" footer="0.3"/>
  <tableParts count="3">
    <tablePart r:id="rId1"/>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12235-0585-49DE-9559-CD362DB85ABD}">
  <sheetPr codeName="Sheet6"/>
  <dimension ref="A1:N63"/>
  <sheetViews>
    <sheetView workbookViewId="0">
      <selection activeCell="C8" sqref="C8"/>
    </sheetView>
  </sheetViews>
  <sheetFormatPr defaultRowHeight="13.8"/>
  <cols>
    <col min="1" max="1" width="13.8984375" bestFit="1" customWidth="1"/>
    <col min="2" max="2" width="7" bestFit="1" customWidth="1"/>
    <col min="3" max="3" width="11" bestFit="1" customWidth="1"/>
    <col min="4" max="4" width="11.3984375" style="42" bestFit="1" customWidth="1"/>
    <col min="5" max="5" width="18.5" bestFit="1" customWidth="1"/>
    <col min="6" max="6" width="14.59765625" bestFit="1" customWidth="1"/>
    <col min="7" max="7" width="11.09765625" bestFit="1" customWidth="1"/>
    <col min="8" max="8" width="10.09765625" bestFit="1" customWidth="1"/>
    <col min="9" max="9" width="8.796875" bestFit="1" customWidth="1"/>
    <col min="10" max="10" width="9.5" bestFit="1" customWidth="1"/>
    <col min="11" max="11" width="14.09765625" bestFit="1" customWidth="1"/>
    <col min="12" max="13" width="11.8984375" bestFit="1" customWidth="1"/>
    <col min="14" max="14" width="7.296875" bestFit="1" customWidth="1"/>
  </cols>
  <sheetData>
    <row r="1" spans="1:14">
      <c r="A1" t="s">
        <v>0</v>
      </c>
      <c r="B1" t="s">
        <v>43</v>
      </c>
      <c r="C1" t="s">
        <v>31</v>
      </c>
      <c r="D1" s="42" t="s">
        <v>40</v>
      </c>
      <c r="E1" t="s">
        <v>32</v>
      </c>
      <c r="F1" s="5" t="s">
        <v>78</v>
      </c>
      <c r="G1" s="5" t="s">
        <v>33</v>
      </c>
      <c r="H1" s="5" t="s">
        <v>34</v>
      </c>
      <c r="I1" s="5" t="s">
        <v>35</v>
      </c>
      <c r="J1" s="5" t="s">
        <v>52</v>
      </c>
      <c r="K1" s="5" t="s">
        <v>163</v>
      </c>
      <c r="L1" t="s">
        <v>41</v>
      </c>
      <c r="M1" t="s">
        <v>46</v>
      </c>
      <c r="N1" t="s">
        <v>25</v>
      </c>
    </row>
    <row r="2" spans="1:14">
      <c r="A2" s="41">
        <v>45888</v>
      </c>
      <c r="B2">
        <v>34</v>
      </c>
      <c r="C2" t="s">
        <v>36</v>
      </c>
      <c r="D2" s="42">
        <v>0.33333333333333331</v>
      </c>
      <c r="E2" t="s">
        <v>57</v>
      </c>
      <c r="F2" s="5">
        <v>150</v>
      </c>
      <c r="G2" s="5">
        <v>19.5</v>
      </c>
      <c r="H2" s="5">
        <v>1.5</v>
      </c>
      <c r="I2" s="5">
        <v>16.5</v>
      </c>
      <c r="J2" s="5">
        <v>0</v>
      </c>
      <c r="K2" s="5">
        <v>232.5</v>
      </c>
      <c r="L2">
        <v>8</v>
      </c>
      <c r="M2">
        <v>1200</v>
      </c>
    </row>
    <row r="3" spans="1:14">
      <c r="A3" s="41">
        <v>45888</v>
      </c>
      <c r="B3">
        <v>34</v>
      </c>
      <c r="C3" t="s">
        <v>36</v>
      </c>
      <c r="D3" s="42">
        <v>0.33333333333333331</v>
      </c>
      <c r="E3" t="s">
        <v>66</v>
      </c>
      <c r="F3" s="5">
        <v>20</v>
      </c>
      <c r="G3" s="5">
        <v>2.6</v>
      </c>
      <c r="H3" s="5">
        <v>9.8000000000000007</v>
      </c>
      <c r="I3" s="5">
        <v>0.8</v>
      </c>
      <c r="J3" s="5">
        <v>1.4000000000000001</v>
      </c>
      <c r="K3" s="5">
        <v>49.400000000000006</v>
      </c>
      <c r="L3">
        <v>7.5</v>
      </c>
      <c r="M3">
        <v>1350</v>
      </c>
    </row>
    <row r="4" spans="1:14">
      <c r="A4" s="41">
        <v>45888</v>
      </c>
      <c r="B4">
        <v>34</v>
      </c>
      <c r="C4" t="s">
        <v>37</v>
      </c>
      <c r="D4" s="42">
        <v>0.5</v>
      </c>
      <c r="E4" t="s">
        <v>53</v>
      </c>
      <c r="F4" s="5">
        <v>150</v>
      </c>
      <c r="G4" s="5">
        <v>46.5</v>
      </c>
      <c r="H4" s="5">
        <v>0</v>
      </c>
      <c r="I4" s="5">
        <v>4.5</v>
      </c>
      <c r="J4" s="5">
        <v>0</v>
      </c>
      <c r="K4" s="5">
        <v>247.5</v>
      </c>
      <c r="L4">
        <v>8</v>
      </c>
      <c r="M4">
        <v>2000</v>
      </c>
    </row>
    <row r="5" spans="1:14">
      <c r="A5" s="41">
        <v>45888</v>
      </c>
      <c r="B5">
        <v>34</v>
      </c>
      <c r="C5" t="s">
        <v>37</v>
      </c>
      <c r="D5" s="42">
        <v>0.5</v>
      </c>
      <c r="E5" t="s">
        <v>53</v>
      </c>
      <c r="F5" s="5">
        <v>150</v>
      </c>
      <c r="G5" s="5">
        <v>46.5</v>
      </c>
      <c r="H5" s="5">
        <v>0</v>
      </c>
      <c r="I5" s="5">
        <v>4.5</v>
      </c>
      <c r="J5" s="5">
        <v>0</v>
      </c>
      <c r="K5" s="5">
        <v>247.5</v>
      </c>
      <c r="L5">
        <v>8</v>
      </c>
      <c r="M5">
        <v>2000</v>
      </c>
    </row>
    <row r="6" spans="1:14">
      <c r="A6" s="41">
        <v>45888</v>
      </c>
      <c r="B6">
        <v>34</v>
      </c>
      <c r="C6" t="s">
        <v>38</v>
      </c>
      <c r="D6" s="42">
        <v>0.75</v>
      </c>
      <c r="E6" t="s">
        <v>55</v>
      </c>
      <c r="F6" s="5">
        <v>200</v>
      </c>
      <c r="G6" s="5">
        <v>52</v>
      </c>
      <c r="H6" s="5">
        <v>0</v>
      </c>
      <c r="I6" s="5">
        <v>20</v>
      </c>
      <c r="J6" s="5">
        <v>0</v>
      </c>
      <c r="K6" s="5">
        <v>500</v>
      </c>
      <c r="L6">
        <v>6</v>
      </c>
      <c r="M6">
        <v>1800</v>
      </c>
    </row>
    <row r="7" spans="1:14">
      <c r="A7" s="41">
        <v>45889</v>
      </c>
      <c r="B7">
        <v>34</v>
      </c>
      <c r="C7" t="s">
        <v>36</v>
      </c>
      <c r="D7" s="42">
        <v>0.33333333333333331</v>
      </c>
      <c r="E7" t="s">
        <v>59</v>
      </c>
      <c r="F7" s="5">
        <v>100</v>
      </c>
      <c r="G7" s="5">
        <v>10</v>
      </c>
      <c r="H7" s="5">
        <v>5</v>
      </c>
      <c r="I7" s="5">
        <v>3</v>
      </c>
      <c r="J7" s="5">
        <v>0</v>
      </c>
      <c r="K7" s="5">
        <v>80</v>
      </c>
      <c r="L7">
        <v>8</v>
      </c>
      <c r="M7">
        <v>2100</v>
      </c>
    </row>
    <row r="8" spans="1:14">
      <c r="A8" s="41">
        <v>45889</v>
      </c>
      <c r="B8">
        <v>34</v>
      </c>
      <c r="C8" t="s">
        <v>39</v>
      </c>
      <c r="D8" s="42">
        <v>0.4375</v>
      </c>
      <c r="E8" t="s">
        <v>68</v>
      </c>
      <c r="F8" s="5">
        <v>80</v>
      </c>
      <c r="G8" s="5">
        <v>0.24</v>
      </c>
      <c r="H8" s="5">
        <v>11.200000000000001</v>
      </c>
      <c r="I8" s="5">
        <v>0.16000000000000003</v>
      </c>
      <c r="J8" s="5">
        <v>1.6</v>
      </c>
      <c r="K8" s="5">
        <v>41.6</v>
      </c>
      <c r="L8">
        <v>6</v>
      </c>
      <c r="M8">
        <v>1000</v>
      </c>
    </row>
    <row r="9" spans="1:14">
      <c r="A9" s="41">
        <v>45889</v>
      </c>
      <c r="B9">
        <v>34</v>
      </c>
      <c r="C9" t="s">
        <v>37</v>
      </c>
      <c r="D9" s="42">
        <v>0.5</v>
      </c>
      <c r="E9" t="s">
        <v>64</v>
      </c>
      <c r="F9" s="5">
        <v>50</v>
      </c>
      <c r="G9" s="5">
        <v>1.3</v>
      </c>
      <c r="H9" s="5">
        <v>11.5</v>
      </c>
      <c r="I9" s="5">
        <v>0.45</v>
      </c>
      <c r="J9" s="5">
        <v>1</v>
      </c>
      <c r="K9" s="5">
        <v>55.5</v>
      </c>
      <c r="L9">
        <v>5</v>
      </c>
      <c r="M9">
        <v>800</v>
      </c>
    </row>
    <row r="10" spans="1:14">
      <c r="A10" s="41">
        <v>45889</v>
      </c>
      <c r="B10">
        <v>34</v>
      </c>
      <c r="C10" t="s">
        <v>38</v>
      </c>
      <c r="D10" s="42">
        <v>0.75</v>
      </c>
      <c r="E10" t="s">
        <v>56</v>
      </c>
      <c r="F10" s="5">
        <v>75</v>
      </c>
      <c r="G10" s="5">
        <v>18.75</v>
      </c>
      <c r="H10" s="5">
        <v>0</v>
      </c>
      <c r="I10" s="5">
        <v>9.75</v>
      </c>
      <c r="J10" s="5">
        <v>0</v>
      </c>
      <c r="K10" s="5">
        <v>156</v>
      </c>
      <c r="L10">
        <v>7</v>
      </c>
      <c r="M10">
        <v>1500</v>
      </c>
    </row>
    <row r="11" spans="1:14">
      <c r="A11" s="41">
        <v>45890</v>
      </c>
      <c r="B11">
        <v>34</v>
      </c>
      <c r="C11" t="s">
        <v>36</v>
      </c>
      <c r="D11" s="42">
        <v>0.33333333333333331</v>
      </c>
      <c r="E11" t="s">
        <v>59</v>
      </c>
      <c r="F11" s="5">
        <v>150</v>
      </c>
      <c r="G11" s="5">
        <v>15</v>
      </c>
      <c r="H11" s="5">
        <v>7.5</v>
      </c>
      <c r="I11" s="5">
        <v>4.5</v>
      </c>
      <c r="J11" s="5">
        <v>0</v>
      </c>
      <c r="K11" s="5">
        <v>120</v>
      </c>
      <c r="L11">
        <v>5.6428571428571397</v>
      </c>
      <c r="M11">
        <v>1200</v>
      </c>
    </row>
    <row r="12" spans="1:14">
      <c r="A12" s="41">
        <v>45890</v>
      </c>
      <c r="B12">
        <v>34</v>
      </c>
      <c r="C12" t="s">
        <v>37</v>
      </c>
      <c r="D12" s="42">
        <v>0.5</v>
      </c>
      <c r="E12" t="s">
        <v>53</v>
      </c>
      <c r="F12" s="5">
        <v>125</v>
      </c>
      <c r="G12" s="5">
        <v>38.75</v>
      </c>
      <c r="H12" s="5">
        <v>0</v>
      </c>
      <c r="I12" s="5">
        <v>3.75</v>
      </c>
      <c r="J12" s="5">
        <v>0</v>
      </c>
      <c r="K12" s="5">
        <v>206.25</v>
      </c>
      <c r="L12">
        <v>5.3571428571428497</v>
      </c>
      <c r="M12">
        <v>2000</v>
      </c>
    </row>
    <row r="13" spans="1:14">
      <c r="A13" s="41">
        <v>45891</v>
      </c>
      <c r="B13">
        <v>34</v>
      </c>
      <c r="C13" t="s">
        <v>37</v>
      </c>
      <c r="D13" s="42">
        <v>0.5</v>
      </c>
      <c r="E13" t="s">
        <v>74</v>
      </c>
      <c r="F13" s="5">
        <v>125</v>
      </c>
      <c r="G13" s="5">
        <v>0.75</v>
      </c>
      <c r="H13" s="5">
        <v>5</v>
      </c>
      <c r="I13" s="5">
        <v>0.125</v>
      </c>
      <c r="J13" s="5">
        <v>0.625</v>
      </c>
      <c r="K13" s="5">
        <v>20</v>
      </c>
      <c r="L13">
        <v>7</v>
      </c>
    </row>
    <row r="14" spans="1:14">
      <c r="A14" s="41">
        <v>45890</v>
      </c>
      <c r="B14">
        <v>34</v>
      </c>
      <c r="C14" t="s">
        <v>38</v>
      </c>
      <c r="D14" s="42">
        <v>0.75</v>
      </c>
      <c r="E14" t="s">
        <v>55</v>
      </c>
      <c r="F14" s="5">
        <v>115</v>
      </c>
      <c r="G14" s="5">
        <v>29.9</v>
      </c>
      <c r="H14" s="5">
        <v>0</v>
      </c>
      <c r="I14" s="5">
        <v>11.5</v>
      </c>
      <c r="J14" s="5">
        <v>0</v>
      </c>
      <c r="K14" s="5">
        <v>287.5</v>
      </c>
      <c r="L14">
        <v>5.0714285714285703</v>
      </c>
      <c r="M14">
        <v>1800</v>
      </c>
    </row>
    <row r="15" spans="1:14">
      <c r="A15" s="41">
        <v>45891</v>
      </c>
      <c r="B15">
        <v>34</v>
      </c>
      <c r="C15" t="s">
        <v>36</v>
      </c>
      <c r="D15" s="42">
        <v>0.33333333333333331</v>
      </c>
      <c r="E15" t="s">
        <v>57</v>
      </c>
      <c r="F15" s="5">
        <v>85</v>
      </c>
      <c r="G15" s="5">
        <v>11.049999999999999</v>
      </c>
      <c r="H15" s="5">
        <v>0.85</v>
      </c>
      <c r="I15" s="5">
        <v>9.35</v>
      </c>
      <c r="J15" s="5">
        <v>0</v>
      </c>
      <c r="K15" s="5">
        <v>131.75</v>
      </c>
      <c r="L15">
        <v>4.7857142857142803</v>
      </c>
      <c r="M15">
        <v>2100</v>
      </c>
    </row>
    <row r="16" spans="1:14">
      <c r="A16" s="41">
        <v>45891</v>
      </c>
      <c r="B16">
        <v>34</v>
      </c>
      <c r="C16" t="s">
        <v>39</v>
      </c>
      <c r="D16" s="42">
        <v>0.4375</v>
      </c>
      <c r="E16" t="s">
        <v>59</v>
      </c>
      <c r="F16" s="5">
        <v>95</v>
      </c>
      <c r="G16" s="5">
        <v>9.5</v>
      </c>
      <c r="H16" s="5">
        <v>4.75</v>
      </c>
      <c r="I16" s="5">
        <v>2.8499999999999996</v>
      </c>
      <c r="J16" s="5">
        <v>0</v>
      </c>
      <c r="K16" s="5">
        <v>76</v>
      </c>
      <c r="L16">
        <v>8</v>
      </c>
      <c r="M16">
        <v>1000</v>
      </c>
    </row>
    <row r="17" spans="1:13">
      <c r="A17" s="41">
        <v>45892</v>
      </c>
      <c r="B17">
        <v>34</v>
      </c>
      <c r="C17" t="s">
        <v>37</v>
      </c>
      <c r="D17" s="42">
        <v>0.5</v>
      </c>
      <c r="E17" t="s">
        <v>64</v>
      </c>
      <c r="F17" s="5">
        <v>45</v>
      </c>
      <c r="G17" s="5">
        <v>1.1700000000000002</v>
      </c>
      <c r="H17" s="5">
        <v>10.35</v>
      </c>
      <c r="I17" s="5">
        <v>0.40500000000000003</v>
      </c>
      <c r="J17" s="5">
        <v>0.9</v>
      </c>
      <c r="K17" s="5">
        <v>49.95</v>
      </c>
      <c r="L17">
        <v>6.5</v>
      </c>
    </row>
    <row r="18" spans="1:13">
      <c r="A18" s="41">
        <v>45891</v>
      </c>
      <c r="B18">
        <v>34</v>
      </c>
      <c r="C18" t="s">
        <v>37</v>
      </c>
      <c r="D18" s="42">
        <v>0.5</v>
      </c>
      <c r="E18" t="s">
        <v>51</v>
      </c>
      <c r="F18" s="5">
        <v>82.196969696969703</v>
      </c>
      <c r="G18" s="5">
        <v>7.3977272727272734</v>
      </c>
      <c r="H18" s="5">
        <v>16.439393939393941</v>
      </c>
      <c r="I18" s="5">
        <v>0.32878787878787885</v>
      </c>
      <c r="J18" s="5">
        <v>6.5757575757575761</v>
      </c>
      <c r="K18" s="5">
        <v>95.348484848484858</v>
      </c>
      <c r="L18">
        <v>5.5</v>
      </c>
      <c r="M18">
        <v>950</v>
      </c>
    </row>
    <row r="19" spans="1:13">
      <c r="A19" s="41">
        <v>45891</v>
      </c>
      <c r="B19">
        <v>34</v>
      </c>
      <c r="C19" t="s">
        <v>38</v>
      </c>
      <c r="D19" s="42">
        <v>0.75</v>
      </c>
      <c r="E19" t="s">
        <v>64</v>
      </c>
      <c r="F19" s="5">
        <v>77.214452214452194</v>
      </c>
      <c r="G19" s="5">
        <v>2.0075757575757569</v>
      </c>
      <c r="H19" s="5">
        <v>17.759324009324004</v>
      </c>
      <c r="I19" s="5">
        <v>0.69493006993006967</v>
      </c>
      <c r="J19" s="5">
        <v>1.5442890442890438</v>
      </c>
      <c r="K19" s="5">
        <v>85.708041958041932</v>
      </c>
      <c r="L19">
        <v>8</v>
      </c>
      <c r="M19">
        <v>1500</v>
      </c>
    </row>
    <row r="20" spans="1:13">
      <c r="A20" s="41">
        <v>45892</v>
      </c>
      <c r="B20">
        <v>34</v>
      </c>
      <c r="C20" t="s">
        <v>36</v>
      </c>
      <c r="D20" s="42">
        <v>0.33333333333333331</v>
      </c>
      <c r="E20" t="s">
        <v>66</v>
      </c>
      <c r="F20" s="5">
        <v>72.2319347319347</v>
      </c>
      <c r="G20" s="5">
        <v>9.3901515151515103</v>
      </c>
      <c r="H20" s="5">
        <v>35.393648018648001</v>
      </c>
      <c r="I20" s="5">
        <v>2.889277389277388</v>
      </c>
      <c r="J20" s="5">
        <v>5.0562354312354287</v>
      </c>
      <c r="K20" s="5">
        <v>178.4128787878787</v>
      </c>
      <c r="L20">
        <v>3.6428571428571401</v>
      </c>
      <c r="M20">
        <v>1200</v>
      </c>
    </row>
    <row r="21" spans="1:13">
      <c r="A21" s="41">
        <v>45892</v>
      </c>
      <c r="B21">
        <v>34</v>
      </c>
      <c r="C21" t="s">
        <v>37</v>
      </c>
      <c r="D21" s="42">
        <v>0.5</v>
      </c>
      <c r="E21" t="s">
        <v>59</v>
      </c>
      <c r="F21" s="5">
        <v>67.249417249417206</v>
      </c>
      <c r="G21" s="5">
        <v>6.7249417249417212</v>
      </c>
      <c r="H21" s="5">
        <v>3.3624708624708606</v>
      </c>
      <c r="I21" s="5">
        <v>2.0174825174825162</v>
      </c>
      <c r="J21" s="5">
        <v>0</v>
      </c>
      <c r="K21" s="5">
        <v>53.799533799533769</v>
      </c>
      <c r="L21">
        <v>8.5</v>
      </c>
      <c r="M21">
        <v>2000</v>
      </c>
    </row>
    <row r="22" spans="1:13">
      <c r="A22" s="41">
        <v>45892</v>
      </c>
      <c r="B22">
        <v>34</v>
      </c>
      <c r="C22" t="s">
        <v>38</v>
      </c>
      <c r="D22" s="42">
        <v>0.75</v>
      </c>
      <c r="E22" t="s">
        <v>53</v>
      </c>
      <c r="F22" s="5">
        <v>62.266899766899797</v>
      </c>
      <c r="G22" s="5">
        <v>19.302738927738936</v>
      </c>
      <c r="H22" s="5">
        <v>0</v>
      </c>
      <c r="I22" s="5">
        <v>1.8680069930069938</v>
      </c>
      <c r="J22" s="5">
        <v>0</v>
      </c>
      <c r="K22" s="5">
        <v>102.74038461538467</v>
      </c>
      <c r="L22">
        <v>7</v>
      </c>
      <c r="M22">
        <v>1800</v>
      </c>
    </row>
    <row r="23" spans="1:13">
      <c r="A23" s="41">
        <v>45893</v>
      </c>
      <c r="B23">
        <v>35</v>
      </c>
      <c r="C23" t="s">
        <v>38</v>
      </c>
      <c r="D23" s="42">
        <v>0.75</v>
      </c>
      <c r="E23" t="s">
        <v>72</v>
      </c>
      <c r="F23" s="5">
        <v>10</v>
      </c>
      <c r="G23" s="5">
        <v>9.0000000000000011E-2</v>
      </c>
      <c r="H23" s="5">
        <v>1</v>
      </c>
      <c r="I23" s="5">
        <v>2.0000000000000004E-2</v>
      </c>
      <c r="J23" s="5">
        <v>0.30000000000000004</v>
      </c>
      <c r="K23" s="5">
        <v>4.1000000000000005</v>
      </c>
      <c r="L23">
        <v>5</v>
      </c>
    </row>
    <row r="24" spans="1:13">
      <c r="A24" s="41">
        <v>45893</v>
      </c>
      <c r="B24">
        <v>35</v>
      </c>
      <c r="C24" t="s">
        <v>36</v>
      </c>
      <c r="D24" s="42">
        <v>0.33333333333333331</v>
      </c>
      <c r="E24" t="s">
        <v>55</v>
      </c>
      <c r="F24" s="5">
        <v>57.284382284382303</v>
      </c>
      <c r="G24" s="5">
        <v>14.8939393939394</v>
      </c>
      <c r="H24" s="5">
        <v>0</v>
      </c>
      <c r="I24" s="5">
        <v>5.7284382284382307</v>
      </c>
      <c r="J24" s="5">
        <v>0</v>
      </c>
      <c r="K24" s="5">
        <v>143.21095571095577</v>
      </c>
      <c r="L24">
        <v>9</v>
      </c>
      <c r="M24">
        <v>2100</v>
      </c>
    </row>
    <row r="25" spans="1:13">
      <c r="A25" s="41">
        <v>45893</v>
      </c>
      <c r="B25">
        <v>35</v>
      </c>
      <c r="C25" t="s">
        <v>39</v>
      </c>
      <c r="D25" s="42">
        <v>0.4375</v>
      </c>
      <c r="E25" t="s">
        <v>74</v>
      </c>
      <c r="F25" s="5">
        <v>52.301864801864802</v>
      </c>
      <c r="G25" s="5">
        <v>0.3138111888111888</v>
      </c>
      <c r="H25" s="5">
        <v>2.0920745920745922</v>
      </c>
      <c r="I25" s="5">
        <v>5.2301864801864807E-2</v>
      </c>
      <c r="J25" s="5">
        <v>0.26150932400932403</v>
      </c>
      <c r="K25" s="5">
        <v>8.3682983682983689</v>
      </c>
      <c r="L25">
        <v>5</v>
      </c>
      <c r="M25">
        <v>1000</v>
      </c>
    </row>
    <row r="26" spans="1:13">
      <c r="A26" s="41">
        <v>45893</v>
      </c>
      <c r="B26">
        <v>35</v>
      </c>
      <c r="C26" t="s">
        <v>37</v>
      </c>
      <c r="D26" s="42">
        <v>0.5</v>
      </c>
      <c r="E26" t="s">
        <v>59</v>
      </c>
      <c r="F26" s="5">
        <v>47.319347319347301</v>
      </c>
      <c r="G26" s="5">
        <v>4.7319347319347296</v>
      </c>
      <c r="H26" s="5">
        <v>2.3659673659673648</v>
      </c>
      <c r="I26" s="5">
        <v>1.4195804195804189</v>
      </c>
      <c r="J26" s="5">
        <v>0</v>
      </c>
      <c r="K26" s="5">
        <v>37.855477855477837</v>
      </c>
      <c r="L26">
        <v>8</v>
      </c>
      <c r="M26">
        <v>2000</v>
      </c>
    </row>
    <row r="27" spans="1:13">
      <c r="A27" s="41">
        <v>45893</v>
      </c>
      <c r="B27">
        <v>35</v>
      </c>
      <c r="C27" t="s">
        <v>38</v>
      </c>
      <c r="D27" s="42">
        <v>0.75</v>
      </c>
      <c r="E27" t="s">
        <v>51</v>
      </c>
      <c r="F27" s="5">
        <v>42.3368298368298</v>
      </c>
      <c r="G27" s="5">
        <v>3.8103146853146819</v>
      </c>
      <c r="H27" s="5">
        <v>8.4673659673659589</v>
      </c>
      <c r="I27" s="5">
        <v>0.1693473193473192</v>
      </c>
      <c r="J27" s="5">
        <v>3.3869463869463838</v>
      </c>
      <c r="K27" s="5">
        <v>49.110722610722569</v>
      </c>
      <c r="L27">
        <v>8</v>
      </c>
      <c r="M27">
        <v>1500</v>
      </c>
    </row>
    <row r="28" spans="1:13">
      <c r="A28" s="41">
        <v>45894</v>
      </c>
      <c r="B28">
        <v>35</v>
      </c>
      <c r="C28" t="s">
        <v>38</v>
      </c>
      <c r="D28" s="42">
        <v>0.75</v>
      </c>
      <c r="E28" t="s">
        <v>55</v>
      </c>
      <c r="F28" s="5">
        <v>100</v>
      </c>
      <c r="G28" s="5">
        <v>26</v>
      </c>
      <c r="H28" s="5">
        <v>0</v>
      </c>
      <c r="I28" s="5">
        <v>10</v>
      </c>
      <c r="J28" s="5">
        <v>0</v>
      </c>
      <c r="K28" s="5">
        <v>250</v>
      </c>
      <c r="L28">
        <v>7</v>
      </c>
    </row>
    <row r="29" spans="1:13">
      <c r="A29" s="41">
        <v>45894</v>
      </c>
      <c r="B29">
        <v>35</v>
      </c>
      <c r="C29" t="s">
        <v>36</v>
      </c>
      <c r="D29" s="42">
        <v>0.33333333333333331</v>
      </c>
      <c r="E29" t="s">
        <v>64</v>
      </c>
      <c r="F29" s="5">
        <v>37.354312354312498</v>
      </c>
      <c r="G29" s="5">
        <v>0.97121212121212497</v>
      </c>
      <c r="H29" s="5">
        <v>8.5914918414918748</v>
      </c>
      <c r="I29" s="5">
        <v>0.3361888111888125</v>
      </c>
      <c r="J29" s="5">
        <v>0.74708624708624993</v>
      </c>
      <c r="K29" s="5">
        <v>41.46328671328687</v>
      </c>
      <c r="L29">
        <v>6</v>
      </c>
      <c r="M29">
        <v>1200</v>
      </c>
    </row>
    <row r="30" spans="1:13">
      <c r="A30" s="41">
        <v>45894</v>
      </c>
      <c r="B30">
        <v>35</v>
      </c>
      <c r="C30" t="s">
        <v>37</v>
      </c>
      <c r="D30" s="42">
        <v>0.5</v>
      </c>
      <c r="E30" t="s">
        <v>56</v>
      </c>
      <c r="F30" s="5">
        <v>32.371794871794499</v>
      </c>
      <c r="G30" s="5">
        <v>8.0929487179486248</v>
      </c>
      <c r="H30" s="5">
        <v>0</v>
      </c>
      <c r="I30" s="5">
        <v>4.2083333333332851</v>
      </c>
      <c r="J30" s="5">
        <v>0</v>
      </c>
      <c r="K30" s="5">
        <v>67.333333333332561</v>
      </c>
      <c r="L30">
        <v>10</v>
      </c>
      <c r="M30">
        <v>1000</v>
      </c>
    </row>
    <row r="31" spans="1:13">
      <c r="A31" s="41">
        <v>45894</v>
      </c>
      <c r="B31">
        <v>35</v>
      </c>
      <c r="C31" t="s">
        <v>38</v>
      </c>
      <c r="D31" s="42">
        <v>0.75</v>
      </c>
      <c r="E31" t="s">
        <v>59</v>
      </c>
      <c r="F31" s="5">
        <v>27.389277389277499</v>
      </c>
      <c r="G31" s="5">
        <v>2.73892773892775</v>
      </c>
      <c r="H31" s="5">
        <v>1.369463869463875</v>
      </c>
      <c r="I31" s="5">
        <v>0.821678321678325</v>
      </c>
      <c r="J31" s="5">
        <v>0</v>
      </c>
      <c r="K31" s="5">
        <v>21.911421911422</v>
      </c>
      <c r="L31">
        <v>7</v>
      </c>
      <c r="M31">
        <v>2900</v>
      </c>
    </row>
    <row r="32" spans="1:13">
      <c r="A32" s="41">
        <v>45895</v>
      </c>
      <c r="B32">
        <v>35</v>
      </c>
      <c r="C32" t="s">
        <v>36</v>
      </c>
      <c r="D32" s="42">
        <v>0.33333333333333331</v>
      </c>
      <c r="E32" t="s">
        <v>67</v>
      </c>
      <c r="F32" s="5">
        <v>20</v>
      </c>
      <c r="G32" s="5">
        <v>3.4000000000000004</v>
      </c>
      <c r="H32" s="5">
        <v>13.200000000000001</v>
      </c>
      <c r="I32" s="5">
        <v>1.4000000000000001</v>
      </c>
      <c r="J32" s="5">
        <v>2</v>
      </c>
      <c r="K32" s="5">
        <v>77.800000000000011</v>
      </c>
      <c r="L32">
        <v>8</v>
      </c>
    </row>
    <row r="33" spans="1:13">
      <c r="A33" s="41">
        <v>45895</v>
      </c>
      <c r="B33">
        <v>35</v>
      </c>
      <c r="C33" t="s">
        <v>37</v>
      </c>
      <c r="D33" s="42">
        <v>0.33333333333333331</v>
      </c>
      <c r="E33" t="s">
        <v>57</v>
      </c>
      <c r="F33" s="5">
        <v>22.4067599067595</v>
      </c>
      <c r="G33" s="5">
        <v>2.9128787878787348</v>
      </c>
      <c r="H33" s="5">
        <v>0.22406759906759499</v>
      </c>
      <c r="I33" s="5">
        <v>2.464743589743545</v>
      </c>
      <c r="J33" s="5">
        <v>0</v>
      </c>
      <c r="K33" s="5">
        <v>34.730477855477226</v>
      </c>
      <c r="L33">
        <v>8.5</v>
      </c>
      <c r="M33">
        <v>2100</v>
      </c>
    </row>
    <row r="34" spans="1:13">
      <c r="A34" s="41">
        <v>45895</v>
      </c>
      <c r="B34">
        <v>35</v>
      </c>
      <c r="C34" t="s">
        <v>39</v>
      </c>
      <c r="D34" s="42">
        <v>0.4375</v>
      </c>
      <c r="E34" t="s">
        <v>76</v>
      </c>
      <c r="F34" s="5">
        <v>17.4242424242425</v>
      </c>
      <c r="G34" s="5">
        <v>0.48787878787878997</v>
      </c>
      <c r="H34" s="5">
        <v>1.2196969696969751</v>
      </c>
      <c r="I34" s="5">
        <v>6.9696969696970007E-2</v>
      </c>
      <c r="J34" s="5">
        <v>0.453030303030305</v>
      </c>
      <c r="K34" s="5">
        <v>6.0984848484848753</v>
      </c>
      <c r="L34">
        <v>8</v>
      </c>
      <c r="M34">
        <v>1000</v>
      </c>
    </row>
    <row r="35" spans="1:13">
      <c r="A35" s="41">
        <v>45895</v>
      </c>
      <c r="B35">
        <v>35</v>
      </c>
      <c r="C35" t="s">
        <v>38</v>
      </c>
      <c r="D35" s="42">
        <v>0.5</v>
      </c>
      <c r="E35" t="s">
        <v>63</v>
      </c>
      <c r="F35" s="5">
        <v>12.4417249417245</v>
      </c>
      <c r="G35" s="5">
        <v>1.119755244755205</v>
      </c>
      <c r="H35" s="5">
        <v>3.3592657342656147</v>
      </c>
      <c r="I35" s="5">
        <v>0.37325174825173502</v>
      </c>
      <c r="J35" s="5">
        <v>0.99533799533795997</v>
      </c>
      <c r="K35" s="5">
        <v>20.40442890442818</v>
      </c>
      <c r="L35">
        <v>9</v>
      </c>
      <c r="M35">
        <v>800</v>
      </c>
    </row>
    <row r="36" spans="1:13">
      <c r="A36" s="41">
        <v>45896</v>
      </c>
      <c r="B36">
        <v>35</v>
      </c>
      <c r="C36" t="s">
        <v>36</v>
      </c>
      <c r="D36" s="42">
        <v>0.33333333333333331</v>
      </c>
      <c r="E36" t="s">
        <v>59</v>
      </c>
      <c r="F36" s="5">
        <v>50</v>
      </c>
      <c r="G36" s="5">
        <v>5</v>
      </c>
      <c r="H36" s="5">
        <v>2.5</v>
      </c>
      <c r="I36" s="5">
        <v>1.5</v>
      </c>
      <c r="J36" s="5">
        <v>0</v>
      </c>
      <c r="K36" s="5">
        <v>40</v>
      </c>
      <c r="L36">
        <v>5</v>
      </c>
      <c r="M36">
        <v>1500</v>
      </c>
    </row>
    <row r="37" spans="1:13">
      <c r="A37" s="41">
        <v>45896</v>
      </c>
      <c r="B37">
        <v>35</v>
      </c>
      <c r="C37" t="s">
        <v>38</v>
      </c>
      <c r="D37" s="42">
        <v>0.75</v>
      </c>
      <c r="E37" t="s">
        <v>59</v>
      </c>
      <c r="F37" s="5">
        <v>33.483294483294202</v>
      </c>
      <c r="G37" s="5">
        <v>3.3483294483294204</v>
      </c>
      <c r="H37" s="5">
        <v>1.6741647241647102</v>
      </c>
      <c r="I37" s="5">
        <v>1.0044988344988259</v>
      </c>
      <c r="J37" s="5">
        <v>0</v>
      </c>
      <c r="K37" s="5">
        <v>26.786635586635363</v>
      </c>
      <c r="L37">
        <v>6.8333333333333304</v>
      </c>
      <c r="M37">
        <v>1500</v>
      </c>
    </row>
    <row r="38" spans="1:13">
      <c r="A38" s="41">
        <v>45897</v>
      </c>
      <c r="B38">
        <v>35</v>
      </c>
      <c r="C38" t="s">
        <v>36</v>
      </c>
      <c r="D38" s="42">
        <v>0.33333333333333331</v>
      </c>
      <c r="E38" t="s">
        <v>67</v>
      </c>
      <c r="F38" s="5">
        <v>35.923187923187598</v>
      </c>
      <c r="G38" s="5">
        <v>6.106941946941892</v>
      </c>
      <c r="H38" s="5">
        <v>23.709304029303816</v>
      </c>
      <c r="I38" s="5">
        <v>2.5146231546231319</v>
      </c>
      <c r="J38" s="5">
        <v>3.5923187923187601</v>
      </c>
      <c r="K38" s="5">
        <v>139.74120102119977</v>
      </c>
      <c r="L38">
        <v>6.6190476190476204</v>
      </c>
      <c r="M38">
        <v>2000</v>
      </c>
    </row>
    <row r="39" spans="1:13">
      <c r="A39" s="41">
        <v>45897</v>
      </c>
      <c r="B39">
        <v>35</v>
      </c>
      <c r="C39" t="s">
        <v>37</v>
      </c>
      <c r="D39" s="42">
        <v>0.5</v>
      </c>
      <c r="E39" t="s">
        <v>55</v>
      </c>
      <c r="F39" s="5">
        <v>150</v>
      </c>
      <c r="G39" s="5">
        <v>39</v>
      </c>
      <c r="H39" s="5">
        <v>0</v>
      </c>
      <c r="I39" s="5">
        <v>15</v>
      </c>
      <c r="J39" s="5">
        <v>0</v>
      </c>
      <c r="K39" s="5">
        <v>375</v>
      </c>
      <c r="L39">
        <v>7</v>
      </c>
    </row>
    <row r="40" spans="1:13">
      <c r="A40" s="41">
        <v>45898</v>
      </c>
      <c r="B40">
        <v>35</v>
      </c>
      <c r="C40" t="s">
        <v>36</v>
      </c>
      <c r="D40" s="42">
        <v>0.375</v>
      </c>
      <c r="E40" t="s">
        <v>59</v>
      </c>
      <c r="F40" s="5">
        <v>100</v>
      </c>
      <c r="G40" s="5">
        <v>10</v>
      </c>
      <c r="H40" s="5">
        <v>5</v>
      </c>
      <c r="I40" s="5">
        <v>3</v>
      </c>
      <c r="J40" s="5">
        <v>0</v>
      </c>
      <c r="K40" s="5">
        <v>80</v>
      </c>
      <c r="L40">
        <v>8</v>
      </c>
    </row>
    <row r="41" spans="1:13">
      <c r="A41" s="41">
        <v>45898</v>
      </c>
      <c r="B41">
        <v>35</v>
      </c>
      <c r="C41" t="s">
        <v>192</v>
      </c>
      <c r="D41" s="42">
        <v>0.5</v>
      </c>
      <c r="E41" t="s">
        <v>64</v>
      </c>
      <c r="F41" s="5">
        <v>50</v>
      </c>
      <c r="G41" s="5">
        <v>1.3</v>
      </c>
      <c r="H41" s="5">
        <v>11.5</v>
      </c>
      <c r="I41" s="5">
        <v>0.45</v>
      </c>
      <c r="J41" s="5">
        <v>1</v>
      </c>
      <c r="K41" s="5">
        <v>55.5</v>
      </c>
      <c r="L41">
        <v>5</v>
      </c>
    </row>
    <row r="42" spans="1:13">
      <c r="A42" s="41">
        <v>45898</v>
      </c>
      <c r="B42">
        <v>35</v>
      </c>
      <c r="C42" t="s">
        <v>38</v>
      </c>
      <c r="D42" s="42">
        <v>0.75</v>
      </c>
      <c r="E42" t="s">
        <v>59</v>
      </c>
      <c r="F42" s="5">
        <v>200</v>
      </c>
      <c r="G42" s="5">
        <v>20</v>
      </c>
      <c r="H42" s="5">
        <v>10</v>
      </c>
      <c r="I42" s="5">
        <v>6</v>
      </c>
      <c r="J42" s="5">
        <v>0</v>
      </c>
      <c r="K42" s="5">
        <v>160</v>
      </c>
      <c r="L42">
        <v>4</v>
      </c>
    </row>
    <row r="43" spans="1:13">
      <c r="A43" s="41">
        <v>45899</v>
      </c>
      <c r="B43">
        <v>35</v>
      </c>
      <c r="C43" t="s">
        <v>36</v>
      </c>
      <c r="D43" s="42">
        <v>0.375</v>
      </c>
      <c r="E43" t="s">
        <v>67</v>
      </c>
      <c r="F43" s="5">
        <v>15</v>
      </c>
      <c r="G43" s="5">
        <v>2.5499999999999998</v>
      </c>
      <c r="H43" s="5">
        <v>9.9</v>
      </c>
      <c r="I43" s="5">
        <v>1.05</v>
      </c>
      <c r="J43" s="5">
        <v>1.5</v>
      </c>
      <c r="K43" s="5">
        <v>58.349999999999994</v>
      </c>
      <c r="L43">
        <v>6.6190476190476204</v>
      </c>
      <c r="M43">
        <v>2000</v>
      </c>
    </row>
    <row r="44" spans="1:13">
      <c r="A44" s="41">
        <v>45899</v>
      </c>
      <c r="B44">
        <v>35</v>
      </c>
      <c r="C44" t="s">
        <v>37</v>
      </c>
      <c r="D44" s="42">
        <v>0.5</v>
      </c>
      <c r="E44" t="s">
        <v>56</v>
      </c>
      <c r="F44" s="5">
        <v>150</v>
      </c>
      <c r="G44" s="5">
        <v>37.5</v>
      </c>
      <c r="H44" s="5">
        <v>0</v>
      </c>
      <c r="I44" s="5">
        <v>19.5</v>
      </c>
      <c r="J44" s="5">
        <v>0</v>
      </c>
      <c r="K44" s="5">
        <v>312</v>
      </c>
      <c r="L44">
        <v>7</v>
      </c>
    </row>
    <row r="45" spans="1:13">
      <c r="A45" s="41">
        <v>45899</v>
      </c>
      <c r="B45">
        <v>35</v>
      </c>
      <c r="C45" t="s">
        <v>38</v>
      </c>
      <c r="D45" s="42">
        <v>0.75</v>
      </c>
      <c r="E45" t="s">
        <v>61</v>
      </c>
      <c r="F45" s="5">
        <v>180</v>
      </c>
      <c r="G45" s="5">
        <v>5.4</v>
      </c>
      <c r="H45" s="5">
        <v>9</v>
      </c>
      <c r="I45" s="5">
        <v>1.8</v>
      </c>
      <c r="J45" s="5">
        <v>0</v>
      </c>
      <c r="K45" s="5">
        <v>75.600000000000009</v>
      </c>
      <c r="L45">
        <v>5.5</v>
      </c>
    </row>
    <row r="46" spans="1:13">
      <c r="A46" s="41">
        <v>45900</v>
      </c>
      <c r="B46">
        <v>36</v>
      </c>
      <c r="C46" t="s">
        <v>36</v>
      </c>
      <c r="D46" s="42">
        <v>0.33333333333333331</v>
      </c>
      <c r="E46" t="s">
        <v>57</v>
      </c>
      <c r="F46" s="5">
        <v>150</v>
      </c>
      <c r="G46" s="5">
        <v>19.5</v>
      </c>
      <c r="H46" s="5">
        <v>1.5</v>
      </c>
      <c r="I46" s="5">
        <v>16.5</v>
      </c>
      <c r="J46" s="5">
        <v>0</v>
      </c>
      <c r="K46" s="5">
        <v>232.5</v>
      </c>
      <c r="L46">
        <v>8</v>
      </c>
    </row>
    <row r="47" spans="1:13">
      <c r="A47" s="41">
        <v>45900</v>
      </c>
      <c r="B47">
        <v>36</v>
      </c>
      <c r="C47" t="s">
        <v>37</v>
      </c>
      <c r="D47" s="42">
        <v>0.5</v>
      </c>
      <c r="E47" t="s">
        <v>51</v>
      </c>
      <c r="F47" s="5">
        <v>150</v>
      </c>
      <c r="G47" s="5">
        <v>13.5</v>
      </c>
      <c r="H47" s="5">
        <v>30</v>
      </c>
      <c r="I47" s="5">
        <v>0.60000000000000009</v>
      </c>
      <c r="J47" s="5">
        <v>12</v>
      </c>
      <c r="K47" s="5">
        <v>174</v>
      </c>
      <c r="L47">
        <v>4.5</v>
      </c>
    </row>
    <row r="48" spans="1:13">
      <c r="A48" s="41">
        <v>45900</v>
      </c>
      <c r="B48">
        <v>36</v>
      </c>
      <c r="C48" t="s">
        <v>38</v>
      </c>
      <c r="D48" s="42">
        <v>0.75</v>
      </c>
      <c r="E48" t="s">
        <v>53</v>
      </c>
      <c r="F48" s="5">
        <v>500</v>
      </c>
      <c r="G48" s="5">
        <v>155</v>
      </c>
      <c r="H48" s="5">
        <v>0</v>
      </c>
      <c r="I48" s="5">
        <v>15</v>
      </c>
      <c r="J48" s="5">
        <v>0</v>
      </c>
      <c r="K48" s="5">
        <v>825</v>
      </c>
      <c r="L48">
        <v>7.5</v>
      </c>
      <c r="M48">
        <v>2500</v>
      </c>
    </row>
    <row r="49" spans="1:13">
      <c r="A49" s="41">
        <v>45901</v>
      </c>
      <c r="B49">
        <v>36</v>
      </c>
      <c r="C49" t="s">
        <v>36</v>
      </c>
      <c r="D49" s="42">
        <v>0.33333333333333331</v>
      </c>
      <c r="E49" t="s">
        <v>59</v>
      </c>
      <c r="F49" s="5">
        <v>150</v>
      </c>
      <c r="G49" s="5">
        <v>15</v>
      </c>
      <c r="H49" s="5">
        <v>7.5</v>
      </c>
      <c r="I49" s="5">
        <v>4.5</v>
      </c>
      <c r="J49" s="5">
        <v>0</v>
      </c>
      <c r="K49" s="5">
        <v>120</v>
      </c>
      <c r="L49">
        <v>8</v>
      </c>
    </row>
    <row r="50" spans="1:13">
      <c r="A50" s="41">
        <v>45901</v>
      </c>
      <c r="B50">
        <v>36</v>
      </c>
      <c r="C50" t="s">
        <v>37</v>
      </c>
      <c r="D50" s="42">
        <v>0.5</v>
      </c>
      <c r="E50" t="s">
        <v>64</v>
      </c>
      <c r="F50" s="5">
        <v>150</v>
      </c>
      <c r="G50" s="5">
        <v>3.9000000000000004</v>
      </c>
      <c r="H50" s="5">
        <v>34.5</v>
      </c>
      <c r="I50" s="5">
        <v>1.35</v>
      </c>
      <c r="J50" s="5">
        <v>3</v>
      </c>
      <c r="K50" s="5">
        <v>166.5</v>
      </c>
      <c r="L50">
        <v>4.5</v>
      </c>
    </row>
    <row r="51" spans="1:13">
      <c r="A51" s="41">
        <v>45901</v>
      </c>
      <c r="B51">
        <v>36</v>
      </c>
      <c r="C51" t="s">
        <v>38</v>
      </c>
      <c r="D51" s="42">
        <v>0.75</v>
      </c>
      <c r="E51" t="s">
        <v>53</v>
      </c>
      <c r="F51" s="5">
        <v>500</v>
      </c>
      <c r="G51" s="5">
        <v>155</v>
      </c>
      <c r="H51" s="5">
        <v>0</v>
      </c>
      <c r="I51" s="5">
        <v>15</v>
      </c>
      <c r="J51" s="5">
        <v>0</v>
      </c>
      <c r="K51" s="5">
        <v>825</v>
      </c>
      <c r="L51">
        <v>7.5</v>
      </c>
      <c r="M51">
        <v>2500</v>
      </c>
    </row>
    <row r="52" spans="1:13">
      <c r="A52" s="41">
        <v>45902</v>
      </c>
      <c r="B52">
        <v>36</v>
      </c>
      <c r="C52" t="s">
        <v>36</v>
      </c>
      <c r="D52" s="42">
        <v>0.33333333333333331</v>
      </c>
      <c r="E52" t="s">
        <v>59</v>
      </c>
      <c r="F52" s="5">
        <v>150</v>
      </c>
      <c r="G52" s="5">
        <v>15</v>
      </c>
      <c r="H52" s="5">
        <v>7.5</v>
      </c>
      <c r="I52" s="5">
        <v>4.5</v>
      </c>
      <c r="J52" s="5">
        <v>0</v>
      </c>
      <c r="K52" s="5">
        <v>120</v>
      </c>
      <c r="L52">
        <v>8</v>
      </c>
    </row>
    <row r="53" spans="1:13">
      <c r="A53" s="41">
        <v>45902</v>
      </c>
      <c r="B53">
        <v>36</v>
      </c>
      <c r="C53" t="s">
        <v>37</v>
      </c>
      <c r="D53" s="42">
        <v>0.5</v>
      </c>
      <c r="E53" t="s">
        <v>64</v>
      </c>
      <c r="F53" s="5">
        <v>150</v>
      </c>
      <c r="G53" s="5">
        <v>3.9000000000000004</v>
      </c>
      <c r="H53" s="5">
        <v>34.5</v>
      </c>
      <c r="I53" s="5">
        <v>1.35</v>
      </c>
      <c r="J53" s="5">
        <v>3</v>
      </c>
      <c r="K53" s="5">
        <v>166.5</v>
      </c>
      <c r="L53">
        <v>4.5</v>
      </c>
    </row>
    <row r="54" spans="1:13">
      <c r="A54" s="41">
        <v>45902</v>
      </c>
      <c r="B54">
        <v>36</v>
      </c>
      <c r="C54" t="s">
        <v>38</v>
      </c>
      <c r="D54" s="42">
        <v>0.75</v>
      </c>
      <c r="E54" t="s">
        <v>53</v>
      </c>
      <c r="F54" s="5">
        <v>500</v>
      </c>
      <c r="G54" s="5">
        <v>155</v>
      </c>
      <c r="H54" s="5">
        <v>0</v>
      </c>
      <c r="I54" s="5">
        <v>15</v>
      </c>
      <c r="J54" s="5">
        <v>0</v>
      </c>
      <c r="K54" s="5">
        <v>825</v>
      </c>
      <c r="L54">
        <v>7.5</v>
      </c>
      <c r="M54">
        <v>2500</v>
      </c>
    </row>
    <row r="55" spans="1:13">
      <c r="A55" s="41">
        <v>45903</v>
      </c>
      <c r="B55">
        <v>36</v>
      </c>
      <c r="C55" t="s">
        <v>36</v>
      </c>
      <c r="D55" s="42">
        <v>0.33333333333333331</v>
      </c>
      <c r="E55" t="s">
        <v>57</v>
      </c>
      <c r="F55" s="5">
        <v>150</v>
      </c>
      <c r="G55" s="5">
        <v>19.5</v>
      </c>
      <c r="H55" s="5">
        <v>1.5</v>
      </c>
      <c r="I55" s="5">
        <v>16.5</v>
      </c>
      <c r="J55" s="5">
        <v>0</v>
      </c>
      <c r="K55" s="5">
        <v>232.5</v>
      </c>
      <c r="L55">
        <v>8</v>
      </c>
    </row>
    <row r="56" spans="1:13">
      <c r="A56" s="41">
        <v>45903</v>
      </c>
      <c r="B56">
        <v>36</v>
      </c>
      <c r="C56" t="s">
        <v>37</v>
      </c>
      <c r="D56" s="42">
        <v>0.5</v>
      </c>
      <c r="E56" t="s">
        <v>51</v>
      </c>
      <c r="F56" s="5">
        <v>150</v>
      </c>
      <c r="G56" s="5">
        <v>13.5</v>
      </c>
      <c r="H56" s="5">
        <v>30</v>
      </c>
      <c r="I56" s="5">
        <v>0.60000000000000009</v>
      </c>
      <c r="J56" s="5">
        <v>12</v>
      </c>
      <c r="K56" s="5">
        <v>174</v>
      </c>
      <c r="L56">
        <v>4.5</v>
      </c>
    </row>
    <row r="57" spans="1:13">
      <c r="A57" s="41">
        <v>45903</v>
      </c>
      <c r="B57">
        <v>36</v>
      </c>
      <c r="C57" t="s">
        <v>38</v>
      </c>
      <c r="D57" s="42">
        <v>0.75</v>
      </c>
      <c r="E57" t="s">
        <v>53</v>
      </c>
      <c r="F57" s="5">
        <v>500</v>
      </c>
      <c r="G57" s="5">
        <v>155</v>
      </c>
      <c r="H57" s="5">
        <v>0</v>
      </c>
      <c r="I57" s="5">
        <v>15</v>
      </c>
      <c r="J57" s="5">
        <v>0</v>
      </c>
      <c r="K57" s="5">
        <v>825</v>
      </c>
      <c r="L57">
        <v>7.5</v>
      </c>
      <c r="M57">
        <v>2500</v>
      </c>
    </row>
    <row r="58" spans="1:13">
      <c r="A58" s="41">
        <v>45904</v>
      </c>
      <c r="B58">
        <v>36</v>
      </c>
      <c r="C58" t="s">
        <v>36</v>
      </c>
      <c r="D58" s="42">
        <v>0.33333333333333331</v>
      </c>
      <c r="E58" t="s">
        <v>57</v>
      </c>
      <c r="F58" s="5">
        <v>150</v>
      </c>
      <c r="G58" s="5">
        <v>19.5</v>
      </c>
      <c r="H58" s="5">
        <v>1.5</v>
      </c>
      <c r="I58" s="5">
        <v>16.5</v>
      </c>
      <c r="J58" s="5">
        <v>0</v>
      </c>
      <c r="K58" s="5">
        <v>232.5</v>
      </c>
      <c r="L58">
        <v>8</v>
      </c>
    </row>
    <row r="59" spans="1:13">
      <c r="A59" s="41">
        <v>45904</v>
      </c>
      <c r="B59">
        <v>36</v>
      </c>
      <c r="C59" t="s">
        <v>37</v>
      </c>
      <c r="D59" s="42">
        <v>0.5</v>
      </c>
      <c r="E59" t="s">
        <v>51</v>
      </c>
      <c r="F59" s="5">
        <v>150</v>
      </c>
      <c r="G59" s="5">
        <v>13.5</v>
      </c>
      <c r="H59" s="5">
        <v>30</v>
      </c>
      <c r="I59" s="5">
        <v>0.60000000000000009</v>
      </c>
      <c r="J59" s="5">
        <v>12</v>
      </c>
      <c r="K59" s="5">
        <v>174</v>
      </c>
    </row>
    <row r="60" spans="1:13">
      <c r="A60" s="41">
        <v>45904</v>
      </c>
      <c r="B60">
        <v>36</v>
      </c>
      <c r="C60" t="s">
        <v>38</v>
      </c>
      <c r="D60" s="42">
        <v>0.75</v>
      </c>
      <c r="E60" t="s">
        <v>53</v>
      </c>
      <c r="F60" s="5">
        <v>500</v>
      </c>
      <c r="G60" s="5">
        <v>155</v>
      </c>
      <c r="H60" s="5">
        <v>0</v>
      </c>
      <c r="I60" s="5">
        <v>15</v>
      </c>
      <c r="J60" s="5">
        <v>0</v>
      </c>
      <c r="K60" s="5">
        <v>825</v>
      </c>
      <c r="M60">
        <v>2500</v>
      </c>
    </row>
    <row r="61" spans="1:13">
      <c r="A61" s="41">
        <v>45905</v>
      </c>
      <c r="B61">
        <v>36</v>
      </c>
      <c r="C61" t="s">
        <v>36</v>
      </c>
      <c r="D61" s="42">
        <v>0.33333333333333331</v>
      </c>
      <c r="E61" t="s">
        <v>57</v>
      </c>
      <c r="F61" s="5">
        <v>150</v>
      </c>
      <c r="G61" s="5">
        <v>19.5</v>
      </c>
      <c r="H61" s="5">
        <v>1.5</v>
      </c>
      <c r="I61" s="5">
        <v>16.5</v>
      </c>
      <c r="J61" s="5">
        <v>0</v>
      </c>
      <c r="K61" s="5">
        <v>232.5</v>
      </c>
      <c r="L61">
        <v>8</v>
      </c>
    </row>
    <row r="62" spans="1:13">
      <c r="A62" s="41">
        <v>45905</v>
      </c>
      <c r="B62">
        <v>36</v>
      </c>
      <c r="C62" t="s">
        <v>37</v>
      </c>
      <c r="D62" s="42">
        <v>0.5</v>
      </c>
      <c r="E62" t="s">
        <v>51</v>
      </c>
      <c r="F62" s="5">
        <v>150</v>
      </c>
      <c r="G62" s="5">
        <v>13.5</v>
      </c>
      <c r="H62" s="5">
        <v>30</v>
      </c>
      <c r="I62" s="5">
        <v>0.60000000000000009</v>
      </c>
      <c r="J62" s="5">
        <v>12</v>
      </c>
      <c r="K62" s="5">
        <v>174</v>
      </c>
    </row>
    <row r="63" spans="1:13">
      <c r="A63" s="41">
        <v>45905</v>
      </c>
      <c r="B63">
        <v>36</v>
      </c>
      <c r="C63" t="s">
        <v>38</v>
      </c>
      <c r="D63" s="42">
        <v>0.75</v>
      </c>
      <c r="E63" t="s">
        <v>53</v>
      </c>
      <c r="F63" s="5">
        <v>500</v>
      </c>
      <c r="G63" s="5">
        <v>155</v>
      </c>
      <c r="H63" s="5">
        <v>0</v>
      </c>
      <c r="I63" s="5">
        <v>15</v>
      </c>
      <c r="J63" s="5">
        <v>0</v>
      </c>
      <c r="K63" s="5">
        <v>825</v>
      </c>
      <c r="M63">
        <v>2500</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45606-32CA-46B6-8722-BDF0C298AC2E}">
  <sheetPr codeName="Sheet11"/>
  <dimension ref="A1:J19"/>
  <sheetViews>
    <sheetView workbookViewId="0">
      <selection activeCell="D35" sqref="D35"/>
    </sheetView>
  </sheetViews>
  <sheetFormatPr defaultRowHeight="13.8"/>
  <cols>
    <col min="1" max="1" width="13.8984375" bestFit="1" customWidth="1"/>
    <col min="2" max="2" width="7" bestFit="1" customWidth="1"/>
    <col min="3" max="3" width="10" bestFit="1" customWidth="1"/>
    <col min="4" max="4" width="12.19921875" bestFit="1" customWidth="1"/>
    <col min="5" max="5" width="6" bestFit="1" customWidth="1"/>
    <col min="6" max="6" width="11.59765625" bestFit="1" customWidth="1"/>
    <col min="7" max="7" width="15.3984375" bestFit="1" customWidth="1"/>
    <col min="8" max="8" width="11.3984375" bestFit="1" customWidth="1"/>
    <col min="9" max="9" width="20.3984375" bestFit="1" customWidth="1"/>
    <col min="10" max="10" width="14.19921875" bestFit="1" customWidth="1"/>
  </cols>
  <sheetData>
    <row r="1" spans="1:10">
      <c r="A1" t="s">
        <v>0</v>
      </c>
      <c r="B1" t="s">
        <v>43</v>
      </c>
      <c r="C1" t="s">
        <v>8</v>
      </c>
      <c r="D1" t="s">
        <v>7</v>
      </c>
      <c r="E1" t="s">
        <v>9</v>
      </c>
      <c r="F1" s="5" t="s">
        <v>26</v>
      </c>
      <c r="G1" s="5" t="s">
        <v>130</v>
      </c>
      <c r="H1" s="5" t="s">
        <v>10</v>
      </c>
      <c r="I1" s="5" t="s">
        <v>164</v>
      </c>
      <c r="J1" t="s">
        <v>25</v>
      </c>
    </row>
    <row r="2" spans="1:10">
      <c r="A2" s="41">
        <v>45888</v>
      </c>
      <c r="B2">
        <v>34</v>
      </c>
      <c r="C2" t="s">
        <v>12</v>
      </c>
      <c r="D2" t="s">
        <v>15</v>
      </c>
      <c r="E2" s="5">
        <v>2</v>
      </c>
      <c r="F2" s="5">
        <v>12</v>
      </c>
      <c r="G2" s="5">
        <v>30</v>
      </c>
      <c r="H2" s="5">
        <v>72</v>
      </c>
      <c r="I2" s="5">
        <v>226.79999999999998</v>
      </c>
    </row>
    <row r="3" spans="1:10">
      <c r="A3" s="41">
        <v>45889</v>
      </c>
      <c r="B3">
        <v>34</v>
      </c>
      <c r="C3" t="s">
        <v>13</v>
      </c>
      <c r="D3" t="s">
        <v>104</v>
      </c>
      <c r="E3" s="5">
        <v>1</v>
      </c>
      <c r="F3" s="5">
        <v>0</v>
      </c>
      <c r="G3" s="5">
        <v>45</v>
      </c>
      <c r="H3" s="5">
        <v>72</v>
      </c>
      <c r="I3" s="5">
        <v>243.80999999999997</v>
      </c>
      <c r="J3" t="s">
        <v>27</v>
      </c>
    </row>
    <row r="4" spans="1:10">
      <c r="A4" s="41">
        <v>45890</v>
      </c>
      <c r="B4">
        <v>34</v>
      </c>
      <c r="C4" t="s">
        <v>11</v>
      </c>
      <c r="D4" t="s">
        <v>17</v>
      </c>
      <c r="E4" s="5">
        <v>1</v>
      </c>
      <c r="F4" s="5">
        <v>2</v>
      </c>
      <c r="G4" s="5">
        <v>40</v>
      </c>
      <c r="H4" s="5">
        <v>72</v>
      </c>
      <c r="I4" s="5">
        <v>115.92</v>
      </c>
    </row>
    <row r="5" spans="1:10">
      <c r="A5" s="41">
        <v>45891</v>
      </c>
      <c r="B5">
        <v>34</v>
      </c>
      <c r="C5" t="s">
        <v>13</v>
      </c>
      <c r="D5" t="s">
        <v>111</v>
      </c>
      <c r="E5" s="5">
        <v>1</v>
      </c>
      <c r="F5" s="5">
        <v>0</v>
      </c>
      <c r="G5" s="5">
        <v>20</v>
      </c>
      <c r="H5" s="5">
        <v>69</v>
      </c>
      <c r="I5" s="5">
        <v>241.5</v>
      </c>
    </row>
    <row r="6" spans="1:10">
      <c r="A6" s="41">
        <v>45892</v>
      </c>
      <c r="B6">
        <v>34</v>
      </c>
      <c r="C6" t="s">
        <v>12</v>
      </c>
      <c r="D6" t="s">
        <v>16</v>
      </c>
      <c r="E6" s="5">
        <v>3</v>
      </c>
      <c r="F6" s="5">
        <v>15</v>
      </c>
      <c r="G6" s="5">
        <v>30</v>
      </c>
      <c r="H6" s="5">
        <v>69</v>
      </c>
      <c r="I6" s="5">
        <v>181.125</v>
      </c>
    </row>
    <row r="7" spans="1:10">
      <c r="A7" s="41">
        <v>45893</v>
      </c>
      <c r="B7">
        <v>34</v>
      </c>
      <c r="C7" t="s">
        <v>124</v>
      </c>
      <c r="D7" t="s">
        <v>121</v>
      </c>
      <c r="E7" s="5">
        <v>0</v>
      </c>
      <c r="F7" s="5">
        <v>0</v>
      </c>
      <c r="G7" s="5">
        <v>60</v>
      </c>
      <c r="H7" s="5">
        <v>69</v>
      </c>
      <c r="I7" s="5">
        <v>217.35</v>
      </c>
      <c r="J7" t="s">
        <v>44</v>
      </c>
    </row>
    <row r="8" spans="1:10">
      <c r="A8" s="41">
        <v>45894</v>
      </c>
      <c r="B8">
        <v>35</v>
      </c>
      <c r="C8" t="s">
        <v>11</v>
      </c>
      <c r="D8" t="s">
        <v>92</v>
      </c>
      <c r="E8" s="5">
        <v>2</v>
      </c>
      <c r="F8" s="5">
        <v>3.13333333333334</v>
      </c>
      <c r="G8" s="5">
        <v>46</v>
      </c>
      <c r="H8" s="5">
        <v>69.2</v>
      </c>
      <c r="I8" s="5">
        <v>278.52999999999997</v>
      </c>
      <c r="J8" t="s">
        <v>29</v>
      </c>
    </row>
    <row r="9" spans="1:10">
      <c r="A9" s="41">
        <v>45895</v>
      </c>
      <c r="B9">
        <v>35</v>
      </c>
      <c r="C9" t="s">
        <v>13</v>
      </c>
      <c r="D9" t="s">
        <v>85</v>
      </c>
      <c r="E9" s="5">
        <v>1</v>
      </c>
      <c r="F9" s="5">
        <v>2.6476190476190502</v>
      </c>
      <c r="G9" s="5">
        <v>48.428571428571402</v>
      </c>
      <c r="H9" s="5">
        <v>69.2</v>
      </c>
      <c r="I9" s="5">
        <v>469.17599999999976</v>
      </c>
    </row>
    <row r="10" spans="1:10">
      <c r="A10" s="41">
        <v>45896</v>
      </c>
      <c r="B10">
        <v>35</v>
      </c>
      <c r="C10" t="s">
        <v>12</v>
      </c>
      <c r="D10" t="s">
        <v>92</v>
      </c>
      <c r="E10" s="5">
        <v>2</v>
      </c>
      <c r="F10" s="5">
        <v>2.16190476190476</v>
      </c>
      <c r="G10" s="5">
        <v>50.857142857142797</v>
      </c>
      <c r="H10" s="5">
        <v>68.5</v>
      </c>
      <c r="I10" s="5">
        <v>304.82499999999965</v>
      </c>
      <c r="J10" t="s">
        <v>28</v>
      </c>
    </row>
    <row r="11" spans="1:10">
      <c r="A11" s="41">
        <v>45897</v>
      </c>
      <c r="B11">
        <v>35</v>
      </c>
      <c r="C11" t="s">
        <v>13</v>
      </c>
      <c r="D11" t="s">
        <v>15</v>
      </c>
      <c r="E11" s="5">
        <v>2.3055555555555598</v>
      </c>
      <c r="F11" s="5">
        <v>1.67619047619048</v>
      </c>
      <c r="G11" s="5">
        <v>53.285714285714299</v>
      </c>
      <c r="H11" s="5">
        <v>68.5</v>
      </c>
      <c r="I11" s="5">
        <v>383.25750000000011</v>
      </c>
    </row>
    <row r="12" spans="1:10">
      <c r="A12" s="41">
        <v>45898</v>
      </c>
      <c r="B12">
        <v>35</v>
      </c>
      <c r="C12" t="s">
        <v>11</v>
      </c>
      <c r="D12" t="s">
        <v>96</v>
      </c>
      <c r="E12" s="5">
        <v>2.3888888888888902</v>
      </c>
      <c r="F12" s="5">
        <v>1.19047619047619</v>
      </c>
      <c r="G12" s="5">
        <v>55.714285714285701</v>
      </c>
      <c r="H12" s="5">
        <v>63.9</v>
      </c>
      <c r="I12" s="5">
        <v>249.20999999999992</v>
      </c>
    </row>
    <row r="13" spans="1:10">
      <c r="A13" s="41">
        <v>45899</v>
      </c>
      <c r="B13">
        <v>35</v>
      </c>
      <c r="C13" t="s">
        <v>13</v>
      </c>
      <c r="D13" t="s">
        <v>15</v>
      </c>
      <c r="E13" s="5">
        <v>2.4722222222222201</v>
      </c>
      <c r="F13" s="5">
        <v>0.70476190476190803</v>
      </c>
      <c r="G13" s="5">
        <v>58.142857142857103</v>
      </c>
      <c r="H13" s="5">
        <v>63.9</v>
      </c>
      <c r="I13" s="5">
        <v>390.10949999999968</v>
      </c>
      <c r="J13" t="s">
        <v>30</v>
      </c>
    </row>
    <row r="14" spans="1:10">
      <c r="A14" s="41">
        <v>45900</v>
      </c>
      <c r="B14">
        <v>35</v>
      </c>
      <c r="C14" t="s">
        <v>12</v>
      </c>
      <c r="D14" t="s">
        <v>16</v>
      </c>
      <c r="E14" s="5">
        <v>2.5555555555555598</v>
      </c>
      <c r="F14" s="5">
        <v>0.21904761904761699</v>
      </c>
      <c r="G14" s="5">
        <v>60.571428571428598</v>
      </c>
      <c r="H14" s="5">
        <v>62.3</v>
      </c>
      <c r="I14" s="5">
        <v>330.19000000000011</v>
      </c>
    </row>
    <row r="15" spans="1:10">
      <c r="A15" s="41">
        <v>45901</v>
      </c>
      <c r="B15">
        <v>36</v>
      </c>
      <c r="C15" t="s">
        <v>11</v>
      </c>
      <c r="D15" t="s">
        <v>15</v>
      </c>
      <c r="E15" s="5">
        <v>2.6388888888888902</v>
      </c>
      <c r="F15" s="5">
        <v>-0.266666666666662</v>
      </c>
      <c r="G15" s="5">
        <v>63</v>
      </c>
      <c r="H15" s="5">
        <v>62.3</v>
      </c>
      <c r="I15" s="5">
        <v>412.11449999999991</v>
      </c>
    </row>
    <row r="16" spans="1:10">
      <c r="A16" s="41">
        <v>45902</v>
      </c>
      <c r="B16">
        <v>36</v>
      </c>
      <c r="C16" t="s">
        <v>13</v>
      </c>
      <c r="D16" t="s">
        <v>18</v>
      </c>
      <c r="E16" s="5">
        <v>2.7222222222222299</v>
      </c>
      <c r="F16" s="5">
        <v>1</v>
      </c>
      <c r="G16" s="5">
        <v>65.428571428571402</v>
      </c>
      <c r="H16" s="5">
        <v>61.4</v>
      </c>
      <c r="I16" s="5">
        <v>421.81799999999976</v>
      </c>
    </row>
    <row r="17" spans="1:9">
      <c r="A17" s="41">
        <v>45903</v>
      </c>
      <c r="B17">
        <v>36</v>
      </c>
      <c r="C17" t="s">
        <v>12</v>
      </c>
      <c r="D17" t="s">
        <v>21</v>
      </c>
      <c r="E17" s="5">
        <v>2</v>
      </c>
      <c r="F17" s="5">
        <v>2</v>
      </c>
      <c r="G17" s="5">
        <v>20</v>
      </c>
      <c r="H17" s="5">
        <v>61.4</v>
      </c>
      <c r="I17" s="5">
        <v>85.960000000000008</v>
      </c>
    </row>
    <row r="18" spans="1:9">
      <c r="A18" s="41">
        <v>45904</v>
      </c>
      <c r="B18">
        <v>36</v>
      </c>
      <c r="C18" t="s">
        <v>11</v>
      </c>
      <c r="D18" t="s">
        <v>115</v>
      </c>
      <c r="E18" s="5">
        <v>2.9722222222222299</v>
      </c>
      <c r="F18" s="5">
        <v>3</v>
      </c>
      <c r="G18" s="5">
        <v>5</v>
      </c>
      <c r="H18" s="5">
        <v>58</v>
      </c>
      <c r="I18" s="5">
        <v>12.6875</v>
      </c>
    </row>
    <row r="19" spans="1:9">
      <c r="A19" s="41">
        <v>45905</v>
      </c>
      <c r="B19">
        <v>36</v>
      </c>
      <c r="C19" t="s">
        <v>13</v>
      </c>
      <c r="D19" t="s">
        <v>100</v>
      </c>
      <c r="E19" s="5">
        <v>3.0555555555555598</v>
      </c>
      <c r="F19" s="5">
        <v>3</v>
      </c>
      <c r="G19" s="5">
        <v>60</v>
      </c>
      <c r="H19" s="5">
        <v>58</v>
      </c>
      <c r="I19" s="5">
        <v>213.15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2161FAD8-C49B-4015-AC9A-FF81ADB03F27}">
  <ds:schemaRefs/>
</ds:datastoreItem>
</file>

<file path=customXml/itemProps2.xml><?xml version="1.0" encoding="utf-8"?>
<ds:datastoreItem xmlns:ds="http://schemas.openxmlformats.org/officeDocument/2006/customXml" ds:itemID="{CFCE358D-10ED-4DC7-9FEB-91937A105283}">
  <ds:schemaRefs/>
</ds:datastoreItem>
</file>

<file path=customXml/itemProps3.xml><?xml version="1.0" encoding="utf-8"?>
<ds:datastoreItem xmlns:ds="http://schemas.openxmlformats.org/officeDocument/2006/customXml" ds:itemID="{B82B541D-3891-4B6B-AEC0-FE1B70EC1D02}">
  <ds:schemaRefs/>
</ds:datastoreItem>
</file>

<file path=customXml/itemProps4.xml><?xml version="1.0" encoding="utf-8"?>
<ds:datastoreItem xmlns:ds="http://schemas.openxmlformats.org/officeDocument/2006/customXml" ds:itemID="{26E96570-F033-4F8F-9753-8457384EC78C}">
  <ds:schemaRefs/>
</ds:datastoreItem>
</file>

<file path=customXml/itemProps5.xml><?xml version="1.0" encoding="utf-8"?>
<ds:datastoreItem xmlns:ds="http://schemas.openxmlformats.org/officeDocument/2006/customXml" ds:itemID="{57ED96FB-A4FE-451D-9226-A3FE08B41BEA}">
  <ds:schemaRefs/>
</ds:datastoreItem>
</file>

<file path=customXml/itemProps6.xml><?xml version="1.0" encoding="utf-8"?>
<ds:datastoreItem xmlns:ds="http://schemas.openxmlformats.org/officeDocument/2006/customXml" ds:itemID="{5F973BF5-504D-47BB-A006-DDDA591049D1}">
  <ds:schemaRefs/>
</ds:datastoreItem>
</file>

<file path=customXml/itemProps7.xml><?xml version="1.0" encoding="utf-8"?>
<ds:datastoreItem xmlns:ds="http://schemas.openxmlformats.org/officeDocument/2006/customXml" ds:itemID="{762F2333-C5DC-46F1-B094-CB5001046829}">
  <ds:schemaRefs/>
</ds:datastoreItem>
</file>

<file path=customXml/itemProps8.xml><?xml version="1.0" encoding="utf-8"?>
<ds:datastoreItem xmlns:ds="http://schemas.openxmlformats.org/officeDocument/2006/customXml" ds:itemID="{77845135-A53C-408B-9C23-3CB230AB595E}">
  <ds:schemaRefs/>
</ds:datastoreItem>
</file>

<file path=customXml/itemProps9.xml><?xml version="1.0" encoding="utf-8"?>
<ds:datastoreItem xmlns:ds="http://schemas.openxmlformats.org/officeDocument/2006/customXml" ds:itemID="{64CB7DAA-B20D-43D4-A7C3-E52BD8F17C94}">
  <ds:schemaRefs/>
</ds:datastoreItem>
</file>

<file path=customXml/itemProps10.xml><?xml version="1.0" encoding="utf-8"?>
<ds:datastoreItem xmlns:ds="http://schemas.openxmlformats.org/officeDocument/2006/customXml" ds:itemID="{7EF05E86-0BD4-4912-8C0B-434B8AA3DF65}">
  <ds:schemaRefs/>
</ds:datastoreItem>
</file>

<file path=customXml/itemProps11.xml><?xml version="1.0" encoding="utf-8"?>
<ds:datastoreItem xmlns:ds="http://schemas.openxmlformats.org/officeDocument/2006/customXml" ds:itemID="{6EC01BE8-EBB4-40FB-8023-CCBD00F2D7A1}">
  <ds:schemaRefs/>
</ds:datastoreItem>
</file>

<file path=customXml/itemProps12.xml><?xml version="1.0" encoding="utf-8"?>
<ds:datastoreItem xmlns:ds="http://schemas.openxmlformats.org/officeDocument/2006/customXml" ds:itemID="{C1BBD13E-234F-46F9-B865-2D2E05146986}">
  <ds:schemaRefs>
    <ds:schemaRef ds:uri="http://schemas.microsoft.com/DataMashup"/>
  </ds:schemaRefs>
</ds:datastoreItem>
</file>

<file path=customXml/itemProps13.xml><?xml version="1.0" encoding="utf-8"?>
<ds:datastoreItem xmlns:ds="http://schemas.openxmlformats.org/officeDocument/2006/customXml" ds:itemID="{05D5F77C-AF14-4000-B780-57C73A2BC5E8}">
  <ds:schemaRefs/>
</ds:datastoreItem>
</file>

<file path=customXml/itemProps14.xml><?xml version="1.0" encoding="utf-8"?>
<ds:datastoreItem xmlns:ds="http://schemas.openxmlformats.org/officeDocument/2006/customXml" ds:itemID="{5C937FDB-2D19-4B95-9387-95095A985251}">
  <ds:schemaRefs/>
</ds:datastoreItem>
</file>

<file path=customXml/itemProps15.xml><?xml version="1.0" encoding="utf-8"?>
<ds:datastoreItem xmlns:ds="http://schemas.openxmlformats.org/officeDocument/2006/customXml" ds:itemID="{4D8508E5-9367-49AB-8B14-4E0B25180BEC}">
  <ds:schemaRefs/>
</ds:datastoreItem>
</file>

<file path=customXml/itemProps16.xml><?xml version="1.0" encoding="utf-8"?>
<ds:datastoreItem xmlns:ds="http://schemas.openxmlformats.org/officeDocument/2006/customXml" ds:itemID="{BF94E28E-C32C-4238-9D93-06425A6D5236}">
  <ds:schemaRefs/>
</ds:datastoreItem>
</file>

<file path=customXml/itemProps17.xml><?xml version="1.0" encoding="utf-8"?>
<ds:datastoreItem xmlns:ds="http://schemas.openxmlformats.org/officeDocument/2006/customXml" ds:itemID="{36486A15-9CF9-4DBA-8E3A-65DD5352BE0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Dashboard</vt:lpstr>
      <vt:lpstr>Instructions</vt:lpstr>
      <vt:lpstr>Workout Log</vt:lpstr>
      <vt:lpstr>Body Measurements Log</vt:lpstr>
      <vt:lpstr>Diet Plan Log</vt:lpstr>
      <vt:lpstr>ExerciseDB</vt:lpstr>
      <vt:lpstr>FoodDB</vt:lpstr>
      <vt:lpstr>Weekly Progress</vt:lpstr>
      <vt:lpstr>Helper</vt:lpstr>
      <vt:lpstr>Table9</vt:lpstr>
      <vt:lpstr>Table5</vt:lpstr>
      <vt:lpstr>Cardio</vt:lpstr>
      <vt:lpstr>Flexibility</vt:lpstr>
      <vt:lpstr>Recovery</vt:lpstr>
      <vt:lpstr>Strength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Khadija Mustafa</dc:creator>
  <cp:lastModifiedBy>Khadija Mustafa</cp:lastModifiedBy>
  <dcterms:created xsi:type="dcterms:W3CDTF">2025-08-08T20:24:35Z</dcterms:created>
  <dcterms:modified xsi:type="dcterms:W3CDTF">2025-09-08T12:52:56Z</dcterms:modified>
</cp:coreProperties>
</file>